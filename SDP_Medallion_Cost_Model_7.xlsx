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Billing Usage Import" sheetId="3" state="visible" r:id="rId5"/>
    <sheet name="Batch Mode" sheetId="4" state="visible" r:id="rId6"/>
    <sheet name="Continuous Mode" sheetId="5" state="visible" r:id="rId7"/>
    <sheet name="B2S Sizing &amp; Cost" sheetId="6" state="visible" r:id="rId8"/>
    <sheet name="Pipeline DBU Actuals" sheetId="7" state="visible" r:id="rId9"/>
    <sheet name="Summ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<sst xmlns="http://schemas.openxmlformats.org/spreadsheetml/2006/main" count="444" uniqueCount="291">
  <si>
    <t xml:space="preserve">Databricks SDP (Lakeflow Declarative Pipelines) — Medallion Cost Model</t>
  </si>
  <si>
    <t xml:space="preserve">Batch vs. Continuous compute cost estimate across Bronze / Silver / Gold layers</t>
  </si>
  <si>
    <t xml:space="preserve">How this workbook is built</t>
  </si>
  <si>
    <t xml:space="preserve">This is a planning-grade estimate built on Databricks TYPICAL / LIST pricing (public rate cards), not an</t>
  </si>
  <si>
    <t xml:space="preserve">invoice reconciliation. No account-specific compute notes were provided, so every rate and every sizing</t>
  </si>
  <si>
    <t xml:space="preserve">assumption below is an editable input — replace the blue cells with your negotiated DBU rates and your</t>
  </si>
  <si>
    <t xml:space="preserve">own cluster sizing once you have them, and every downstream formula recalculates automatically.</t>
  </si>
  <si>
    <t xml:space="preserve">Cost = (DBU platform fee) + (underlying cloud VM infrastructure cost). Databricks bills the DBU fee;</t>
  </si>
  <si>
    <t xml:space="preserve">AWS/Azure/GCP separately bills the VM the cluster runs on. Both are modeled here.</t>
  </si>
  <si>
    <t xml:space="preserve">Batch mode = Jobs Compute / SDP triggered pipelines that run on a schedule, then shut down.</t>
  </si>
  <si>
    <t xml:space="preserve">Continuous mode = SDP pipelines (or Structured Streaming) left running 24/7 to process data with low latency.</t>
  </si>
  <si>
    <t xml:space="preserve">Tabs</t>
  </si>
  <si>
    <t xml:space="preserve">Assumptions</t>
  </si>
  <si>
    <t xml:space="preserve">Editable DBU rates, VM instance costs, and per-layer sizing inputs (all blue).</t>
  </si>
  <si>
    <t xml:space="preserve">Batch Mode</t>
  </si>
  <si>
    <t xml:space="preserve">Monthly cost for Bronze/Silver/Gold run as scheduled/triggered SDP pipelines.</t>
  </si>
  <si>
    <t xml:space="preserve">Continuous Mode</t>
  </si>
  <si>
    <t xml:space="preserve">Monthly cost for Bronze/Silver/Gold run as always-on SDP pipelines.</t>
  </si>
  <si>
    <t xml:space="preserve">Summary</t>
  </si>
  <si>
    <t xml:space="preserve">Side-by-side comparison, savings, and a chart.</t>
  </si>
  <si>
    <t xml:space="preserve">Feeding the model from your actual system.billing.usage data</t>
  </si>
  <si>
    <t xml:space="preserve">The "Billing Usage Import" tab has two ready-to-run SQL queries against system.billing.usage (+ list_prices)</t>
  </si>
  <si>
    <t xml:space="preserve">that pull your real effective $/DBU by workload and real DBU/hr by node type. Paste the results into that tab,</t>
  </si>
  <si>
    <t xml:space="preserve">Blue text — hardcoded input. Edit freely; this is the number that drives the model.</t>
  </si>
  <si>
    <t xml:space="preserve">then set Assumptions!C65 to "Actual Billing". Every rate/DBU cell falls back to list price automatically for</t>
  </si>
  <si>
    <t xml:space="preserve">Black text — formula. Don't overtype; change the blue inputs that feed it instead.</t>
  </si>
  <si>
    <t xml:space="preserve">any row you have not filled in yet, so you can mix real and estimated numbers as your data fills in.</t>
  </si>
  <si>
    <t xml:space="preserve">Green text — link to another tab.</t>
  </si>
  <si>
    <t xml:space="preserve">Sample</t>
  </si>
  <si>
    <t xml:space="preserve">Yellow fill — key assumption worth double-checking against your own contract/rate card.</t>
  </si>
  <si>
    <t xml:space="preserve">Sources for the default list-price assumptions</t>
  </si>
  <si>
    <t xml:space="preserve">Databricks Jobs Compute / SDP / Serverless DBU rates: Databricks public pricing pages and 2026 third-party</t>
  </si>
  <si>
    <t xml:space="preserve">  pricing guides (AWS, Premium/Enterprise tier, US regions). Rates vary by cloud, region, tier, and any</t>
  </si>
  <si>
    <t xml:space="preserve">  committed-use discount — confirm current figures at databricks.com/product/pricing before budgeting.</t>
  </si>
  <si>
    <t xml:space="preserve">Underlying VM cost and DBU-per-node consumption: AWS EC2 on-demand list pricing and Databricks' published</t>
  </si>
  <si>
    <t xml:space="preserve">  DBU-per-instance-type tables (e.g., m5.xlarge ≈ 0.69 DBU/hr). Verify at the Databricks pricing calculator:</t>
  </si>
  <si>
    <t xml:space="preserve">  databricks.com/product/pricing/product-pricing/instance-types</t>
  </si>
  <si>
    <t xml:space="preserve">Runtime/frequency/node-count assumptions per medallion layer are illustrative starting points, not</t>
  </si>
  <si>
    <t xml:space="preserve">  measured values — replace them with your own pipeline telemetry (job run history, cluster metrics) for</t>
  </si>
  <si>
    <t xml:space="preserve">  an accurate estimate.</t>
  </si>
  <si>
    <t xml:space="preserve">1. Databricks DBU Rates (list pricing, USD, AWS Premium/Enterprise tier)</t>
  </si>
  <si>
    <t xml:space="preserve">Compute Type</t>
  </si>
  <si>
    <t xml:space="preserve">$ / DBU</t>
  </si>
  <si>
    <t xml:space="preserve">Notes</t>
  </si>
  <si>
    <t xml:space="preserve">List $/DBU</t>
  </si>
  <si>
    <t xml:space="preserve">Jobs Compute (Classic) — batch/triggered</t>
  </si>
  <si>
    <t xml:space="preserve">Cheapest classic SKU; used for scheduled/triggered pipelines.</t>
  </si>
  <si>
    <t xml:space="preserve">All-Purpose Compute (Classic) — interactive, reference only</t>
  </si>
  <si>
    <t xml:space="preserve">Interactive notebooks; not used for production pipelines in this model.</t>
  </si>
  <si>
    <t xml:space="preserve">SDP Classic — Core</t>
  </si>
  <si>
    <t xml:space="preserve">Lakeflow Declarative Pipelines, classic compute, Core product edition.</t>
  </si>
  <si>
    <t xml:space="preserve">SDP Classic — Pro / Advanced</t>
  </si>
  <si>
    <t xml:space="preserve">Adds data quality expectations / change data capture features.</t>
  </si>
  <si>
    <t xml:space="preserve">SDP Serverless — Standard</t>
  </si>
  <si>
    <t xml:space="preserve">Fully managed; used here as the default rate for Continuous mode.</t>
  </si>
  <si>
    <t xml:space="preserve">SDP Serverless — Performance Optimized</t>
  </si>
  <si>
    <t xml:space="preserve">Same list $/DBU as Standard, but consumes more DBU/hr for faster startup/throughput.</t>
  </si>
  <si>
    <t xml:space="preserve">2. Cluster Node Types — 4 size tiers (DBU consumption &amp; underlying cloud VM cost, on-demand)</t>
  </si>
  <si>
    <t xml:space="preserve">Tier Label</t>
  </si>
  <si>
    <t xml:space="preserve">Instance Type</t>
  </si>
  <si>
    <t xml:space="preserve">DBU / hr / node</t>
  </si>
  <si>
    <t xml:space="preserve">VM $ / hr / node (cloud infra)</t>
  </si>
  <si>
    <t xml:space="preserve">vCPU / node</t>
  </si>
  <si>
    <t xml:space="preserve">RAM (GB) / node</t>
  </si>
  <si>
    <t xml:space="preserve">Small</t>
  </si>
  <si>
    <t xml:space="preserve">Medium</t>
  </si>
  <si>
    <t xml:space="preserve">Large</t>
  </si>
  <si>
    <t xml:space="preserve">XLarge</t>
  </si>
  <si>
    <t xml:space="preserve">Cloud</t>
  </si>
  <si>
    <t xml:space="preserve">AWS</t>
  </si>
  <si>
    <t xml:space="preserve">Pick from the dropdown. Drives every Small/Medium/Large/XLarge row above and all downstream sheets.</t>
  </si>
  <si>
    <t xml:space="preserve">Azure VM Series (used only if Cloud = Azure)</t>
  </si>
  <si>
    <t xml:space="preserve">D-series (general purpose)</t>
  </si>
  <si>
    <t xml:space="preserve">D-series = balanced ETL. E-series = memory-optimized (wide joins, shuffles, caching).</t>
  </si>
  <si>
    <t xml:space="preserve">Lookup range used by Batch/Continuous/B2S tabs: Assumptions!$B$15:$G$18</t>
  </si>
  <si>
    <t xml:space="preserve">3. Rate Selection by Pipeline Mode</t>
  </si>
  <si>
    <t xml:space="preserve">Mode</t>
  </si>
  <si>
    <t xml:space="preserve">DBU Rate Used</t>
  </si>
  <si>
    <t xml:space="preserve">$ / DBU (linked)</t>
  </si>
  <si>
    <t xml:space="preserve">Batch / Triggered</t>
  </si>
  <si>
    <t xml:space="preserve">Jobs Compute (Classic)</t>
  </si>
  <si>
    <t xml:space="preserve">Continuous / Streaming (SDP Serverless)</t>
  </si>
  <si>
    <t xml:space="preserve">SDP Serverless (Standard)</t>
  </si>
  <si>
    <t xml:space="preserve">Continuous (Jobs Compute)</t>
  </si>
  <si>
    <t xml:space="preserve">“Continuous (Jobs Compute)” models a streaming/always-on pipeline running on classic Jobs Compute instead of SDP Serverless — cheaper $/DBU, but you manage autoscaling yourself instead of Databricks doing it. Change any D-column formula above to point at a different rate row to re-run every downstream number.</t>
  </si>
  <si>
    <t xml:space="preserve">4. Per-Layer Sizing Inputs — edit these to reflect your real pipelines</t>
  </si>
  <si>
    <t xml:space="preserve">Defaults on the Batch Mode / Continuous Mode tabs are illustrative starting points — replace with your own job history.</t>
  </si>
  <si>
    <t xml:space="preserve">2b. Raw Node Specs by Cloud / Series (4 size tiers — edit rates here; the active table above pulls from your Cloud/Series selection)</t>
  </si>
  <si>
    <t xml:space="preserve">Tier</t>
  </si>
  <si>
    <t xml:space="preserve">vCPU</t>
  </si>
  <si>
    <t xml:space="preserve">RAM (GB)</t>
  </si>
  <si>
    <t xml:space="preserve">DBU/hr/node</t>
  </si>
  <si>
    <t xml:space="preserve">VM $/hr/node</t>
  </si>
  <si>
    <t xml:space="preserve">m5.xlarge</t>
  </si>
  <si>
    <t xml:space="preserve">m5.2xlarge</t>
  </si>
  <si>
    <t xml:space="preserve">r5.4xlarge</t>
  </si>
  <si>
    <t xml:space="preserve">r5.8xlarge</t>
  </si>
  <si>
    <t xml:space="preserve">Azure D-series (Ddsv5) — general purpose, balanced CPU:RAM (~4 GB/vCPU), local NVMe temp disk. Good default for typical ETL.</t>
  </si>
  <si>
    <t xml:space="preserve">Standard_D4ds_v5</t>
  </si>
  <si>
    <t xml:space="preserve">Standard_D8ds_v5</t>
  </si>
  <si>
    <t xml:space="preserve">Standard_D16ds_v5</t>
  </si>
  <si>
    <t xml:space="preserve">Standard_D32ds_v5</t>
  </si>
  <si>
    <t xml:space="preserve">Azure E-series (Edsv5) — memory-optimized (~8 GB/vCPU), local NVMe temp disk. Use for wide joins, large shuffles, or heavy caching in Silver/Gold.</t>
  </si>
  <si>
    <t xml:space="preserve">Standard_E4ds_v5</t>
  </si>
  <si>
    <t xml:space="preserve">Standard_E8ds_v5</t>
  </si>
  <si>
    <t xml:space="preserve">Standard_E16ds_v5</t>
  </si>
  <si>
    <t xml:space="preserve">Standard_E32ds_v5</t>
  </si>
  <si>
    <t xml:space="preserve">Azure DBU/hr and VM $/hr (incl. the ‘ds’ local-disk premium) are typical list-price estimates (Premium tier, Jobs Compute, US East, pay-as-you-go) — verify against your Azure Databricks price sheet / Azure Retail Prices API before budgeting.</t>
  </si>
  <si>
    <t xml:space="preserve">5. Data Source</t>
  </si>
  <si>
    <t xml:space="preserve">Data Source</t>
  </si>
  <si>
    <t xml:space="preserve">List Price</t>
  </si>
  <si>
    <t xml:space="preserve">Pick from the dropdown. “Actual Billing” pulls $/DBU and DBU/hr from the ‘Billing Usage Import’ tab (populated from your system.billing.usage export) and falls back to list price automatically for any row you haven’t filled in yet.</t>
  </si>
  <si>
    <t xml:space="preserve">Billing Usage Import — Actual system.billing.usage Data</t>
  </si>
  <si>
    <t xml:space="preserve">Run the two queries below in Databricks SQL, then paste the results into the tables in sections 3 &amp; 4.</t>
  </si>
  <si>
    <t xml:space="preserve">1. SQL — Effective $/DBU by Workload (last 90 days)</t>
  </si>
  <si>
    <t xml:space="preserve">SELECT
  CASE
    WHEN u.sku_name LIKE '%JOBS_COMPUTE%' AND u.sku_name NOT LIKE '%SERVERLESS%' THEN 'Batch / Triggered'
    WHEN u.sku_name LIKE '%SERVERLESS%' OR u.sku_name LIKE '%LAKEFLOW%' OR u.sku_name LIKE '%DLT%' THEN 'Continuous / Streaming'
    ELSE 'Other'
  END AS mode,
  SUM(u.usage_quantity) AS total_dbus,
  SUM(u.usage_quantity * lp.pricing.default) AS total_dbu_dollars,
  SUM(u.usage_quantity * lp.pricing.default) / NULLIF(SUM(u.usage_quantity),0) AS effective_dollar_per_dbu
FROM system.billing.usage u
JOIN system.billing.list_prices lp
  ON u.sku_name = lp.sku_name
 AND u.usage_start_time &gt;= lp.price_start_time
 AND (u.usage_start_time &lt; lp.price_end_time OR lp.price_end_time IS NULL)
WHERE u.usage_date &gt;= DATE_SUB(CURRENT_DATE(), 90)
GROUP BY 1
ORDER BY 1;</t>
  </si>
  <si>
    <t xml:space="preserve">Note: filter/GROUP BY logic reflects typical sku_name conventions as of 2026 — validate against your own workspace's system.billing.usage.sku_name values before relying on it (some accounts use slightly different SKU strings, e.g. STANDARD_ vs PREMIUM_ vs ENTERPRISE_ prefixes).</t>
  </si>
  <si>
    <t xml:space="preserve">2. SQL — DBU/hr by Node/Instance Type (last 90 days)</t>
  </si>
  <si>
    <t xml:space="preserve">SELECT
  u.usage_metadata.node_type AS instance_type,
  SUM(u.usage_quantity) AS total_dbus,
  SUM(DATEDIFF(SECOND, u.usage_start_time, u.usage_end_time)) / 3600.0 AS total_node_hours,
  SUM(u.usage_quantity) / NULLIF(SUM(DATEDIFF(SECOND, u.usage_start_time, u.usage_end_time)) / 3600.0, 0) AS dbu_per_hour_per_node
FROM system.billing.usage u
WHERE u.usage_date &gt;= DATE_SUB(CURRENT_DATE(), 90)
  AND u.usage_metadata.node_type IS NOT NULL
GROUP BY 1
ORDER BY 2 DESC;</t>
  </si>
  <si>
    <t xml:space="preserve">Note: system.billing.usage carries the Databricks DBU platform fee only. The underlying cloud VM $/hr is billed separately by AWS/Azure/GCP — pull it from your AWS Cost &amp; Usage Report or Azure Cost Management export if you want that side actualized too; this model keeps VM $/hr at list price.</t>
  </si>
  <si>
    <t xml:space="preserve">3. Paste Results — Effective $/DBU by Workload</t>
  </si>
  <si>
    <t xml:space="preserve">Total DBUs
(period)</t>
  </si>
  <si>
    <t xml:space="preserve">Total DBU $
(period)</t>
  </si>
  <si>
    <t xml:space="preserve">Effective
$/DBU</t>
  </si>
  <si>
    <t xml:space="preserve">Continuous / Streaming</t>
  </si>
  <si>
    <t xml:space="preserve">Leave Total DBUs at 0 to keep using list price for that mode — the Assumptions tab falls back automatically.</t>
  </si>
  <si>
    <t xml:space="preserve">4. Paste Results — DBU/hr by Instance Type</t>
  </si>
  <si>
    <t xml:space="preserve">Total Node-Hours
(period)</t>
  </si>
  <si>
    <t xml:space="preserve">DBU/hr
/node</t>
  </si>
  <si>
    <t xml:space="preserve">m5.xlarge (EXAMPLE — overwrite or delete)</t>
  </si>
  <si>
    <t xml:space="preserve">Instance-type text must match the Assumptions tab exactly (it already does above). Leave a row's Total DBUs at 0 to keep list price for that node type.</t>
  </si>
  <si>
    <t xml:space="preserve">Batch / Triggered SDP Pipelines — Monthly Cost by Medallion Layer</t>
  </si>
  <si>
    <t xml:space="preserve">DBU rate used (from Assumptions §3):</t>
  </si>
  <si>
    <t xml:space="preserve">Layer</t>
  </si>
  <si>
    <t xml:space="preserve">Instance
Tier</t>
  </si>
  <si>
    <t xml:space="preserve">Node
Count</t>
  </si>
  <si>
    <t xml:space="preserve">VM $/hr
/node</t>
  </si>
  <si>
    <t xml:space="preserve">Avg Run
Duration (hr)</t>
  </si>
  <si>
    <t xml:space="preserve">Runs
/ Day</t>
  </si>
  <si>
    <t xml:space="preserve">Days
/ Month</t>
  </si>
  <si>
    <t xml:space="preserve">DBU
Consumed/Mo</t>
  </si>
  <si>
    <t xml:space="preserve">DBU Platform
Cost/Mo</t>
  </si>
  <si>
    <t xml:space="preserve">VM Infra
Cost/Mo</t>
  </si>
  <si>
    <t xml:space="preserve">Total
Cost/Mo</t>
  </si>
  <si>
    <t xml:space="preserve">Bronze</t>
  </si>
  <si>
    <t xml:space="preserve">Silver</t>
  </si>
  <si>
    <t xml:space="preserve">Gold</t>
  </si>
  <si>
    <t xml:space="preserve">Total</t>
  </si>
  <si>
    <t xml:space="preserve">Assumption notes</t>
  </si>
  <si>
    <t xml:space="preserve">Bronze: frequent short incremental-ingest runs (hourly) on a small cluster — typical raw-landing pattern.</t>
  </si>
  <si>
    <t xml:space="preserve">Silver: fewer, longer transform runs on a medium cluster (dedupe, conform, join, quality checks).</t>
  </si>
  <si>
    <t xml:space="preserve">Gold: infrequent, business-aggregation runs feeding BI/reporting — smallest DBU footprint of the three.</t>
  </si>
  <si>
    <t xml:space="preserve">Runs/Day, Duration, Node Count and Tier are all blue — replace with your own job-history averages.</t>
  </si>
  <si>
    <t xml:space="preserve">Continuous / Always-On SDP Pipelines — Monthly Cost by Medallion Layer</t>
  </si>
  <si>
    <t xml:space="preserve">Rate Mode:</t>
  </si>
  <si>
    <t xml:space="preserve">← pick classic Jobs Compute here to price continuous pipelines without SDP Serverless</t>
  </si>
  <si>
    <t xml:space="preserve">Node
Count
(avg)</t>
  </si>
  <si>
    <t xml:space="preserve">Avg
Utilization %</t>
  </si>
  <si>
    <t xml:space="preserve">Hours
/ Day</t>
  </si>
  <si>
    <t xml:space="preserve">Continuous pipelines use SDP Serverless with enhanced autoscaling — Node Count is the AVERAGE node count</t>
  </si>
  <si>
    <t xml:space="preserve">over the month (autoscaler expands/contracts with input rate), not a fixed cluster size.</t>
  </si>
  <si>
    <t xml:space="preserve">Utilization % derates 24x7 wall-clock hours to reflect autoscale-to-minimum during low-traffic windows.</t>
  </si>
  <si>
    <t xml:space="preserve">Bronze stays near 100% (continuous ingest rarely idles); Gold is lowest since aggregation triggers on</t>
  </si>
  <si>
    <t xml:space="preserve">upstream data arrival rather than a constant stream.</t>
  </si>
  <si>
    <t xml:space="preserve">Bronze → Silver Worker Node Recommendation &amp; Cost Impact</t>
  </si>
  <si>
    <t xml:space="preserve">Enter your pipeline's actual table size, row count and file profile below — the model sizes and prices the ONE-TIME initial load/backfill separately from the RECURRING delta/incremental load.</t>
  </si>
  <si>
    <t xml:space="preserve">1. Pipeline Characteristics — EDIT THESE (placeholder values shown)</t>
  </si>
  <si>
    <t xml:space="preserve">Parameter</t>
  </si>
  <si>
    <t xml:space="preserve">Value</t>
  </si>
  <si>
    <t xml:space="preserve">Unit / Notes</t>
  </si>
  <si>
    <t xml:space="preserve">Bronze table size</t>
  </si>
  <si>
    <t xml:space="preserve">GB — total size of the Bronze table(s) feeding this run</t>
  </si>
  <si>
    <t xml:space="preserve">Silver output size</t>
  </si>
  <si>
    <t xml:space="preserve">GB — leave as-is if unknown; defaults to ~80% of Bronze</t>
  </si>
  <si>
    <t xml:space="preserve">Row count</t>
  </si>
  <si>
    <t xml:space="preserve">millions of rows</t>
  </si>
  <si>
    <t xml:space="preserve">Number of files</t>
  </si>
  <si>
    <t xml:space="preserve">files in the Bronze source location</t>
  </si>
  <si>
    <t xml:space="preserve">New data arrival interval</t>
  </si>
  <si>
    <t xml:space="preserve">minutes — how often a new batch of files lands</t>
  </si>
  <si>
    <t xml:space="preserve">Max acceptable staleness (latency SLA)</t>
  </si>
  <si>
    <t xml:space="preserve">minutes — how fresh Silver must be</t>
  </si>
  <si>
    <t xml:space="preserve">Delta run target completion window</t>
  </si>
  <si>
    <t xml:space="preserve">minutes — how fast you want each INCREMENTAL (delta) run to finish. Initial load gets its own window below.</t>
  </si>
  <si>
    <t xml:space="preserve">Avg file size (computed)</t>
  </si>
  <si>
    <t xml:space="preserve">MB — Bronze size ÷ file count</t>
  </si>
  <si>
    <t xml:space="preserve">2. File Layout Check</t>
  </si>
  <si>
    <t xml:space="preserve">Metric</t>
  </si>
  <si>
    <t xml:space="preserve">Ideal partition size</t>
  </si>
  <si>
    <t xml:space="preserve">MB — standard Spark/Delta target file size</t>
  </si>
  <si>
    <t xml:space="preserve">Ideal number of partitions</t>
  </si>
  <si>
    <t xml:space="preserve">Files ÷ ideal partitions ratio</t>
  </si>
  <si>
    <t xml:space="preserve">File layout flag</t>
  </si>
  <si>
    <t xml:space="preserve">3. Node Tier Throughput Assumptions (edit if you have real job telemetry)</t>
  </si>
  <si>
    <t xml:space="preserve">vCPUs</t>
  </si>
  <si>
    <t xml:space="preserve">GB / hr / node
(light transform: parse, dedupe,
conform, light joins)</t>
  </si>
  <si>
    <t xml:space="preserve">Instance type and vCPU follow the Cloud/Series selection on the Assumptions tab. GB/hr/node throughput is a general rule of thumb, not a measured figure — tune from your own Spark UI stage timings.</t>
  </si>
  <si>
    <t xml:space="preserve">4. Tier-Selection Thresholds (GB of data to process)</t>
  </si>
  <si>
    <t xml:space="preserve">Use when data volume is…</t>
  </si>
  <si>
    <t xml:space="preserve">Threshold (GB)</t>
  </si>
  <si>
    <t xml:space="preserve">&lt; 100 GB</t>
  </si>
  <si>
    <t xml:space="preserve">100–800 GB</t>
  </si>
  <si>
    <t xml:space="preserve">800–3,000 GB</t>
  </si>
  <si>
    <t xml:space="preserve">&gt; 3,000 GB</t>
  </si>
  <si>
    <t xml:space="preserve">5. Initial Load / Backfill Sizing — ONE-TIME, full table volume</t>
  </si>
  <si>
    <t xml:space="preserve">Data volume to process</t>
  </si>
  <si>
    <t xml:space="preserve">GB — the full Bronze/Silver table, processed once</t>
  </si>
  <si>
    <t xml:space="preserve">Initial load target completion window</t>
  </si>
  <si>
    <t xml:space="preserve">hours — backfills can tolerate a longer window than incremental runs</t>
  </si>
  <si>
    <t xml:space="preserve">Recommended tier</t>
  </si>
  <si>
    <t xml:space="preserve">Recommended instance type</t>
  </si>
  <si>
    <t xml:space="preserve">Throughput / node</t>
  </si>
  <si>
    <t xml:space="preserve">GB / hr</t>
  </si>
  <si>
    <t xml:space="preserve">Recommended worker count</t>
  </si>
  <si>
    <t xml:space="preserve">workers (+1 driver), sized to finish the ONE-TIME backfill within the window above</t>
  </si>
  <si>
    <t xml:space="preserve">Estimated backfill runtime</t>
  </si>
  <si>
    <t xml:space="preserve">hours — single run, start to finish</t>
  </si>
  <si>
    <t xml:space="preserve">6. Initial Load Cost — ONE-TIME (Trigger/Batch only — continuous mode doesn't apply to a single backfill)</t>
  </si>
  <si>
    <t xml:space="preserve">Item</t>
  </si>
  <si>
    <t xml:space="preserve">Nodes
(incl. driver)</t>
  </si>
  <si>
    <t xml:space="preserve">Runtime
(hrs)</t>
  </si>
  <si>
    <t xml:space="preserve">DBU
Cost</t>
  </si>
  <si>
    <t xml:space="preserve">VM Infra
Cost</t>
  </si>
  <si>
    <t xml:space="preserve">Total
Cost (one-time)</t>
  </si>
  <si>
    <t xml:space="preserve">Backfill (single trigger run)</t>
  </si>
  <si>
    <t xml:space="preserve">7. Delta / Incremental Load Characteristics — RECURRING, new/changed data only</t>
  </si>
  <si>
    <t xml:space="preserve">Avg delta volume per run</t>
  </si>
  <si>
    <t xml:space="preserve">GB — typical new/changed data landed since the last run (from job telemetry, not the full table size)</t>
  </si>
  <si>
    <t xml:space="preserve">8. Recommended Delta Sizing (computed)</t>
  </si>
  <si>
    <t xml:space="preserve">workers (+1 driver), sized so EACH delta run finishes within the delta target window</t>
  </si>
  <si>
    <t xml:space="preserve">Estimated delta runtime per run</t>
  </si>
  <si>
    <t xml:space="preserve">minutes</t>
  </si>
  <si>
    <t xml:space="preserve">Runs per day (batch/trigger)</t>
  </si>
  <si>
    <t xml:space="preserve">9. Delta Mode Recommendation — Trigger vs. Continuous</t>
  </si>
  <si>
    <t xml:space="preserve">Worst-case data staleness in Batch mode</t>
  </si>
  <si>
    <t xml:space="preserve">minutes — arrival interval + delta run time, before the next trigger even starts</t>
  </si>
  <si>
    <t xml:space="preserve">Recommended mode</t>
  </si>
  <si>
    <t xml:space="preserve">10. Delta Monthly Cost Impact — RECURRING</t>
  </si>
  <si>
    <t xml:space="preserve">Hrs or
Runs basis</t>
  </si>
  <si>
    <t xml:space="preserve">Days
/Month</t>
  </si>
  <si>
    <t xml:space="preserve">Continuous
Util %</t>
  </si>
  <si>
    <t xml:space="preserve">DBU
Cost/Mo</t>
  </si>
  <si>
    <t xml:space="preserve">Trigger / Batch</t>
  </si>
  <si>
    <t xml:space="preserve">n/a</t>
  </si>
  <si>
    <t xml:space="preserve">Continuous</t>
  </si>
  <si>
    <t xml:space="preserve">Delta (Continuous − Batch)</t>
  </si>
  <si>
    <t xml:space="preserve">11. Blended Total Cost View — Initial Load + Delta together</t>
  </si>
  <si>
    <t xml:space="preserve">If Delta runs Trigger/Batch</t>
  </si>
  <si>
    <t xml:space="preserve">If Delta runs Continuous</t>
  </si>
  <si>
    <t xml:space="preserve">Initial load (one-time)</t>
  </si>
  <si>
    <t xml:space="preserve">Same either way — backfill is a single run, not affected by delta mode</t>
  </si>
  <si>
    <t xml:space="preserve">Delta (steady-state, per month)</t>
  </si>
  <si>
    <t xml:space="preserve">Recurring every month after the backfill</t>
  </si>
  <si>
    <t xml:space="preserve">Month 1 total (backfill + first delta cycle)</t>
  </si>
  <si>
    <t xml:space="preserve">Month 2+ steady-state monthly cost</t>
  </si>
  <si>
    <t xml:space="preserve">Year 1 total (backfill + 12 months of delta)</t>
  </si>
  <si>
    <t xml:space="preserve">Recommendation Summary</t>
  </si>
  <si>
    <t xml:space="preserve">Pipeline DBU Actuals — Real Consumption by Pipeline</t>
  </si>
  <si>
    <t xml:space="preserve">Paste DBUs consumed per pipeline below (from system.billing.usage — see the costing notebook, query 1.3). Cost is computed automatically from the Assumptions rate table based on the Mode you pick per row.</t>
  </si>
  <si>
    <t xml:space="preserve">1. DBUs Consumed by Pipeline</t>
  </si>
  <si>
    <t xml:space="preserve">Pipeline Name</t>
  </si>
  <si>
    <t xml:space="preserve">Medallion
Layer</t>
  </si>
  <si>
    <t xml:space="preserve">Period
(days)</t>
  </si>
  <si>
    <t xml:space="preserve">DBUs
Consumed</t>
  </si>
  <si>
    <t xml:space="preserve">$/DBU
(mode rate)</t>
  </si>
  <si>
    <t xml:space="preserve">Cost for
Period</t>
  </si>
  <si>
    <t xml:space="preserve">Monthly
Run-Rate</t>
  </si>
  <si>
    <t xml:space="preserve">bronze_ingest_pipeline (EXAMPLE — overwrite or delete)</t>
  </si>
  <si>
    <t xml:space="preserve">from system.billing.usage, last 30 days</t>
  </si>
  <si>
    <t xml:space="preserve">Leave Pipeline Name blank to exclude a row from the totals below. ‘Period (days)’ lets the model normalize a 7-day or 90-day pull to a monthly run-rate.</t>
  </si>
  <si>
    <t xml:space="preserve">2. Actual Summary by Medallion Layer</t>
  </si>
  <si>
    <t xml:space="preserve">Total Cost
(period)</t>
  </si>
  <si>
    <t xml:space="preserve">Actual Monthly
Run-Rate</t>
  </si>
  <si>
    <t xml:space="preserve">Other</t>
  </si>
  <si>
    <t xml:space="preserve">3. Actual vs. Modeled Monthly Cost</t>
  </si>
  <si>
    <t xml:space="preserve">Modeled
(Batch Mode)</t>
  </si>
  <si>
    <t xml:space="preserve">Modeled
(Continuous Mode)</t>
  </si>
  <si>
    <t xml:space="preserve">Variance vs
Batch</t>
  </si>
  <si>
    <t xml:space="preserve">Variance vs
Continuous</t>
  </si>
  <si>
    <t xml:space="preserve">Positive variance = actual usage is running higher than the model assumed (time to revisit sizing on the Batch Mode / Continuous Mode / B2S tabs); negative = the model is over-provisioned relative to real usage.</t>
  </si>
  <si>
    <t xml:space="preserve">SDP Medallion Pipeline — Monthly Cost Summary</t>
  </si>
  <si>
    <t xml:space="preserve">Batch
Monthly Cost</t>
  </si>
  <si>
    <t xml:space="preserve">Continuous
Monthly Cost</t>
  </si>
  <si>
    <t xml:space="preserve">$ Delta
(Cont. − Batch)</t>
  </si>
  <si>
    <t xml:space="preserve">Continuous is
___x Batch</t>
  </si>
  <si>
    <t xml:space="preserve">Annualized (x12)</t>
  </si>
  <si>
    <t xml:space="preserve">Batch
Annual Cost</t>
  </si>
  <si>
    <t xml:space="preserve">Continuous
Annual Cost</t>
  </si>
  <si>
    <t xml:space="preserve">$ Delta / yr</t>
  </si>
  <si>
    <t xml:space="preserve">Takeaway</t>
  </si>
  <si>
    <t xml:space="preserve">Continuous pipelines cost more per month because they pay for wall-clock uptime instead of task duration — the gap narrows for layers with naturally high, steady data velocity (Bronze ingest) and widens for layers that only need to run periodically (Gold).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</si>
</sst>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\$0.0000"/>
    <numFmt numFmtId="166" formatCode="\$0.00"/>
    <numFmt numFmtId="167" formatCode="#,##0.00;\(#,##0.00\);\-"/>
    <numFmt numFmtId="168" formatCode="\$0.000"/>
    <numFmt numFmtId="169" formatCode="#,##0;\(#,##0\);\-"/>
    <numFmt numFmtId="170" formatCode="\$#,##0"/>
    <numFmt numFmtId="171" formatCode="\$#,##0;&quot;($&quot;#,##0\);\-"/>
    <numFmt numFmtId="172" formatCode="0.0%"/>
    <numFmt numFmtId="173" formatCode="#,##0.0;\(#,##0.0\);\-"/>
    <numFmt numFmtId="174" formatCode="0.0\x"/>
    <numFmt numFmtId="175" formatCode="#,##0;\(#,##0\);\-"/>
    <numFmt numFmtId="176" formatCode="\$0.0000"/>
    <numFmt numFmtId="177" formatCode="\$#,##0;&quot;($&quot;#,##0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9"/>
      <color rgb="FF000000"/>
      <name val="Consolas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4F81BD"/>
      </patternFill>
    </fill>
    <fill>
      <patternFill patternType="solid">
        <fgColor rgb="FFD6E4F0"/>
        <bgColor rgb="FFD9E1F2"/>
      </patternFill>
    </fill>
    <fill>
      <patternFill patternType="solid">
        <fgColor rgb="FFF2F2F2"/>
        <bgColor rgb="FFF9F9F9"/>
      </patternFill>
    </fill>
    <fill>
      <patternFill patternType="solid">
        <fgColor rgb="FFBDD7EE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D9E1F2"/>
        <bgColor rgb="FFD6E4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9F9F9"/>
      <rgbColor rgb="FFD6E4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D9E1F2"/>
      <rgbColor rgb="FFB3B3B3"/>
      <rgbColor rgb="FFFF99CC"/>
      <rgbColor rgb="FFCC99FF"/>
      <rgbColor rgb="FFD9D9D9"/>
      <rgbColor rgb="FF2E75B6"/>
      <rgbColor rgb="FF33CCCC"/>
      <rgbColor rgb="FF9BBB59"/>
      <rgbColor rgb="FFFFCC00"/>
      <rgbColor rgb="FFFF9900"/>
      <rgbColor rgb="FFFF6600"/>
      <rgbColor rgb="FF595959"/>
      <rgbColor rgb="FF878787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vs. Modeled Monthly Cost by Layer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'Pipeline DBU Actuals'!C33</c:f>
              <c:strCache>
                <c:ptCount val="1"/>
                <c:pt idx="0">
                  <c:v>Actual Monthly
Run-Rate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DBU Actuals'!$B$34:$B$36</c:f>
              <c:strCache>
                <c:ptCount val="3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</c:strCache>
            </c:strRef>
          </c:cat>
          <c:val>
            <c:numRef>
              <c:f>'Pipeline DBU Actuals'!$C$34:$C$36</c:f>
              <c:numCache>
                <c:formatCode>\$#,##0;"($"#,##0\);\-</c:formatCode>
                <c:ptCount val="3"/>
                <c:pt idx="0">
                  <c:v>2775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'Pipeline DBU Actuals'!D33</c:f>
              <c:strCache>
                <c:ptCount val="1"/>
                <c:pt idx="0">
                  <c:v>Modeled
(Batch Mode)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DBU Actuals'!$B$34:$B$36</c:f>
              <c:strCache>
                <c:ptCount val="3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</c:strCache>
            </c:strRef>
          </c:cat>
          <c:val>
            <c:numRef>
              <c:f>'Pipeline DBU Actuals'!$D$34:$D$36</c:f>
              <c:numCache>
                <c:formatCode>\$#,##0;"($"#,##0\);\-</c:formatCode>
                <c:ptCount val="3"/>
                <c:pt idx="0">
                  <c:v>207.36</c:v>
                </c:pt>
                <c:pt idx="1">
                  <c:v>184.32</c:v>
                </c:pt>
                <c:pt idx="2">
                  <c:v>51.84</c:v>
                </c:pt>
              </c:numCache>
            </c:numRef>
          </c:val>
        </c:ser>
        <c:ser>
          <c:idx val="2"/>
          <c:order val="2"/>
          <c:tx>
            <c:strRef>
              <c:f>'Pipeline DBU Actuals'!E33</c:f>
              <c:strCache>
                <c:ptCount val="1"/>
                <c:pt idx="0">
                  <c:v>Modeled
(Continuous Mode)</c:v>
                </c:pt>
              </c:strCache>
            </c:strRef>
          </c:tx>
          <c:spPr>
            <a:solidFill>
              <a:srgbClr val="9bbb59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'Pipeline DBU Actuals'!$B$34:$B$36</c:f>
              <c:strCache>
                <c:ptCount val="3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</c:strCache>
            </c:strRef>
          </c:cat>
          <c:val>
            <c:numRef>
              <c:f>'Pipeline DBU Actuals'!$E$34:$E$36</c:f>
              <c:numCache>
                <c:formatCode>\$#,##0;"($"#,##0\);\-</c:formatCode>
                <c:ptCount val="3"/>
                <c:pt idx="0">
                  <c:v>624.24</c:v>
                </c:pt>
                <c:pt idx="1">
                  <c:v>1685.448</c:v>
                </c:pt>
                <c:pt idx="2">
                  <c:v>873.936</c:v>
                </c:pt>
              </c:numCache>
            </c:numRef>
          </c:val>
        </c:ser>
        <c:gapWidth val="150"/>
        <c:overlap val="0"/>
        <c:axId val="57332601"/>
        <c:axId val="35048973"/>
      </c:barChart>
      <c:catAx>
        <c:axId val="5733260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Medallion Layer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048973"/>
        <c:crosses val="autoZero"/>
        <c:auto val="1"/>
        <c:lblAlgn val="ctr"/>
        <c:lblOffset val="100"/>
        <c:noMultiLvlLbl val="0"/>
      </c:catAx>
      <c:valAx>
        <c:axId val="350489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332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Cost by Layer — Batch vs. Continuous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Summary!C4</c:f>
              <c:strCache>
                <c:ptCount val="1"/>
                <c:pt idx="0">
                  <c:v>Batch
Monthly Cost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Summary!$B$5:$B$7</c:f>
              <c:strCache>
                <c:ptCount val="3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</c:strCache>
            </c:strRef>
          </c:cat>
          <c:val>
            <c:numRef>
              <c:f>Summary!$C$5:$C$7</c:f>
              <c:numCache>
                <c:formatCode>\$#,##0;"($"#,##0\);\-</c:formatCode>
                <c:ptCount val="3"/>
                <c:pt idx="0">
                  <c:v>207.36</c:v>
                </c:pt>
                <c:pt idx="1">
                  <c:v>184.32</c:v>
                </c:pt>
                <c:pt idx="2">
                  <c:v>51.84</c:v>
                </c:pt>
              </c:numCache>
            </c:numRef>
          </c:val>
        </c:ser>
        <c:ser>
          <c:idx val="1"/>
          <c:order val="1"/>
          <c:tx>
            <c:strRef>
              <c:f>Summary!D4</c:f>
              <c:strCache>
                <c:ptCount val="1"/>
                <c:pt idx="0">
                  <c:v>Continuous
Monthly Cost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Summary!$B$5:$B$7</c:f>
              <c:strCache>
                <c:ptCount val="3"/>
                <c:pt idx="0">
                  <c:v>Bronze</c:v>
                </c:pt>
                <c:pt idx="1">
                  <c:v>Silver</c:v>
                </c:pt>
                <c:pt idx="2">
                  <c:v>Gold</c:v>
                </c:pt>
              </c:strCache>
            </c:strRef>
          </c:cat>
          <c:val>
            <c:numRef>
              <c:f>Summary!$D$5:$D$7</c:f>
              <c:numCache>
                <c:formatCode>\$#,##0;"($"#,##0\);\-</c:formatCode>
                <c:ptCount val="3"/>
                <c:pt idx="0">
                  <c:v>624.24</c:v>
                </c:pt>
                <c:pt idx="1">
                  <c:v>1685.448</c:v>
                </c:pt>
                <c:pt idx="2">
                  <c:v>873.936</c:v>
                </c:pt>
              </c:numCache>
            </c:numRef>
          </c:val>
        </c:ser>
        <c:gapWidth val="150"/>
        <c:overlap val="0"/>
        <c:axId val="7127077"/>
        <c:axId val="2554242"/>
      </c:barChart>
      <c:catAx>
        <c:axId val="71270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Medallion Layer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54242"/>
        <c:crosses val="autoZero"/>
        <c:auto val="1"/>
        <c:lblAlgn val="ctr"/>
        <c:lblOffset val="100"/>
        <c:noMultiLvlLbl val="0"/>
      </c:catAx>
      <c:valAx>
        <c:axId val="25542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/ 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70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32</xdr:row>
      <xdr:rowOff>621360</xdr:rowOff>
    </xdr:from>
    <xdr:to>
      <xdr:col>5</xdr:col>
      <xdr:colOff>402840</xdr:colOff>
      <xdr:row>49</xdr:row>
      <xdr:rowOff>149760</xdr:rowOff>
    </xdr:to>
    <xdr:graphicFrame>
      <xdr:nvGraphicFramePr>
        <xdr:cNvPr id="0" name="Chart 1"/>
        <xdr:cNvGraphicFramePr/>
      </xdr:nvGraphicFramePr>
      <xdr:xfrm>
        <a:off x="141120" y="7429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50760</xdr:rowOff>
    </xdr:from>
    <xdr:to>
      <xdr:col>5</xdr:col>
      <xdr:colOff>964080</xdr:colOff>
      <xdr:row>29</xdr:row>
      <xdr:rowOff>48960</xdr:rowOff>
    </xdr:to>
    <xdr:graphicFrame>
      <xdr:nvGraphicFramePr>
        <xdr:cNvPr id="1" name="Chart 1"/>
        <xdr:cNvGraphicFramePr/>
      </xdr:nvGraphicFramePr>
      <xdr:xfrm>
        <a:off x="141120" y="2641680"/>
        <a:ext cx="575676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34"/>
    <col collapsed="false" customWidth="true" hidden="false" outlineLevel="0" max="7" min="5" style="1" width="14"/>
  </cols>
  <sheetData>
    <row r="2" customFormat="false" ht="19.5" hidden="false" customHeight="true" outlineLevel="0" collapsed="false">
      <c r="B2" s="2" t="s">
        <v>0</v>
      </c>
      <c r="C2" s="2"/>
      <c r="D2" s="2"/>
      <c r="E2" s="2"/>
      <c r="F2" s="2"/>
      <c r="G2" s="2"/>
    </row>
    <row r="3" customFormat="false" ht="15" hidden="false" customHeight="true" outlineLevel="0" collapsed="false">
      <c r="B3" s="3" t="s">
        <v>1</v>
      </c>
      <c r="C3" s="3"/>
      <c r="D3" s="3"/>
      <c r="E3" s="3"/>
      <c r="F3" s="3"/>
      <c r="G3" s="3"/>
    </row>
    <row r="5" customFormat="false" ht="15.7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5"/>
    </row>
    <row r="11" customFormat="false" ht="15" hidden="false" customHeight="true" outlineLevel="0" collapsed="false">
      <c r="B11" s="5" t="s">
        <v>7</v>
      </c>
    </row>
    <row r="12" customFormat="false" ht="15" hidden="false" customHeight="true" outlineLevel="0" collapsed="false">
      <c r="B12" s="5" t="s">
        <v>8</v>
      </c>
    </row>
    <row r="13" customFormat="false" ht="15" hidden="false" customHeight="true" outlineLevel="0" collapsed="false">
      <c r="B13" s="5"/>
    </row>
    <row r="14" customFormat="false" ht="15" hidden="false" customHeight="true" outlineLevel="0" collapsed="false">
      <c r="B14" s="5" t="s">
        <v>9</v>
      </c>
    </row>
    <row r="15" customFormat="false" ht="15" hidden="false" customHeight="true" outlineLevel="0" collapsed="false">
      <c r="B15" s="5" t="s">
        <v>10</v>
      </c>
    </row>
    <row r="17" customFormat="false" ht="15.75" hidden="false" customHeight="true" outlineLevel="0" collapsed="false">
      <c r="B17" s="4" t="s">
        <v>11</v>
      </c>
    </row>
    <row r="18" customFormat="false" ht="15" hidden="false" customHeight="true" outlineLevel="0" collapsed="false">
      <c r="B18" s="6" t="s">
        <v>12</v>
      </c>
      <c r="C18" s="7" t="s">
        <v>13</v>
      </c>
      <c r="D18" s="7"/>
      <c r="E18" s="7"/>
      <c r="F18" s="7"/>
      <c r="G18" s="7"/>
    </row>
    <row r="19" customFormat="false" ht="15" hidden="false" customHeight="true" outlineLevel="0" collapsed="false">
      <c r="B19" s="6" t="s">
        <v>14</v>
      </c>
      <c r="C19" s="7" t="s">
        <v>15</v>
      </c>
      <c r="D19" s="7"/>
      <c r="E19" s="7"/>
      <c r="F19" s="7"/>
      <c r="G19" s="7"/>
    </row>
    <row r="20" customFormat="false" ht="15" hidden="false" customHeight="true" outlineLevel="0" collapsed="false">
      <c r="B20" s="6" t="s">
        <v>16</v>
      </c>
      <c r="C20" s="7" t="s">
        <v>17</v>
      </c>
      <c r="D20" s="7"/>
      <c r="E20" s="7"/>
      <c r="F20" s="7"/>
      <c r="G20" s="7"/>
    </row>
    <row r="21" customFormat="false" ht="15" hidden="false" customHeight="true" outlineLevel="0" collapsed="false">
      <c r="B21" s="6" t="s">
        <v>18</v>
      </c>
      <c r="C21" s="7" t="s">
        <v>19</v>
      </c>
      <c r="D21" s="7"/>
      <c r="E21" s="7"/>
      <c r="F21" s="7"/>
      <c r="G21" s="7"/>
    </row>
    <row r="22" customFormat="false" ht="15.75" hidden="false" customHeight="true" outlineLevel="0" collapsed="false">
      <c r="B22" s="4" t="s">
        <v>20</v>
      </c>
    </row>
    <row r="23" customFormat="false" ht="15.75" hidden="false" customHeight="true" outlineLevel="0" collapsed="false">
      <c r="B23" s="8" t="s">
        <v>21</v>
      </c>
    </row>
    <row r="24" customFormat="false" ht="15" hidden="false" customHeight="true" outlineLevel="0" collapsed="false">
      <c r="B24" s="8" t="s">
        <v>22</v>
      </c>
      <c r="C24" s="7" t="s">
        <v>23</v>
      </c>
      <c r="D24" s="7"/>
      <c r="E24" s="7"/>
      <c r="F24" s="7"/>
      <c r="G24" s="7"/>
    </row>
    <row r="25" customFormat="false" ht="15" hidden="false" customHeight="true" outlineLevel="0" collapsed="false">
      <c r="B25" s="8" t="s">
        <v>24</v>
      </c>
      <c r="C25" s="7" t="s">
        <v>25</v>
      </c>
      <c r="D25" s="7"/>
      <c r="E25" s="7"/>
      <c r="F25" s="7"/>
      <c r="G25" s="7"/>
    </row>
    <row r="26" customFormat="false" ht="15" hidden="false" customHeight="true" outlineLevel="0" collapsed="false">
      <c r="B26" s="8" t="s">
        <v>26</v>
      </c>
      <c r="C26" s="7" t="s">
        <v>27</v>
      </c>
      <c r="D26" s="7"/>
      <c r="E26" s="7"/>
      <c r="F26" s="7"/>
      <c r="G26" s="7"/>
    </row>
    <row r="27" customFormat="false" ht="15" hidden="false" customHeight="true" outlineLevel="0" collapsed="false">
      <c r="B27" s="9" t="s">
        <v>28</v>
      </c>
      <c r="C27" s="7" t="s">
        <v>29</v>
      </c>
      <c r="D27" s="7"/>
      <c r="E27" s="7"/>
      <c r="F27" s="7"/>
      <c r="G27" s="7"/>
    </row>
    <row r="29" customFormat="false" ht="15.75" hidden="false" customHeight="true" outlineLevel="0" collapsed="false">
      <c r="B29" s="4" t="s">
        <v>30</v>
      </c>
    </row>
    <row r="30" customFormat="false" ht="15" hidden="false" customHeight="true" outlineLevel="0" collapsed="false">
      <c r="B30" s="10" t="s">
        <v>31</v>
      </c>
    </row>
    <row r="31" customFormat="false" ht="15" hidden="false" customHeight="true" outlineLevel="0" collapsed="false">
      <c r="B31" s="10" t="s">
        <v>32</v>
      </c>
    </row>
    <row r="32" customFormat="false" ht="15" hidden="false" customHeight="true" outlineLevel="0" collapsed="false">
      <c r="B32" s="10" t="s">
        <v>33</v>
      </c>
    </row>
    <row r="33" customFormat="false" ht="15" hidden="false" customHeight="true" outlineLevel="0" collapsed="false">
      <c r="B33" s="10" t="s">
        <v>34</v>
      </c>
    </row>
    <row r="34" customFormat="false" ht="15" hidden="false" customHeight="true" outlineLevel="0" collapsed="false">
      <c r="B34" s="10" t="s">
        <v>35</v>
      </c>
    </row>
    <row r="35" customFormat="false" ht="15" hidden="false" customHeight="true" outlineLevel="0" collapsed="false">
      <c r="B35" s="10" t="s">
        <v>36</v>
      </c>
    </row>
    <row r="36" customFormat="false" ht="15" hidden="false" customHeight="true" outlineLevel="0" collapsed="false">
      <c r="B36" s="10" t="s">
        <v>37</v>
      </c>
    </row>
    <row r="37" customFormat="false" ht="15" hidden="false" customHeight="true" outlineLevel="0" collapsed="false">
      <c r="B37" s="10" t="s">
        <v>38</v>
      </c>
    </row>
    <row r="38" customFormat="false" ht="15" hidden="false" customHeight="true" outlineLevel="0" collapsed="false">
      <c r="B38" s="10" t="s">
        <v>39</v>
      </c>
    </row>
  </sheetData>
  <mergeCells count="10">
    <mergeCell ref="B2:G2"/>
    <mergeCell ref="B3:G3"/>
    <mergeCell ref="C18:G18"/>
    <mergeCell ref="C19:G19"/>
    <mergeCell ref="C20:G20"/>
    <mergeCell ref="C21:G21"/>
    <mergeCell ref="C24:G24"/>
    <mergeCell ref="C25:G25"/>
    <mergeCell ref="C26:G26"/>
    <mergeCell ref="C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3" min="3" style="1" width="14"/>
    <col collapsed="false" customWidth="true" hidden="false" outlineLevel="0" max="4" min="4" style="1" width="40"/>
    <col collapsed="false" customWidth="true" hidden="false" outlineLevel="0" max="5" min="5" style="1" width="4"/>
    <col collapsed="false" customWidth="true" hidden="false" outlineLevel="0" max="9" min="6" style="1" width="12"/>
    <col collapsed="false" customWidth="true" hidden="false" outlineLevel="0" max="10" min="10" style="1" width="40"/>
  </cols>
  <sheetData>
    <row r="2" customFormat="false" ht="15.75" hidden="false" customHeight="true" outlineLevel="0" collapsed="false">
      <c r="B2" s="4" t="s">
        <v>40</v>
      </c>
    </row>
    <row r="4" customFormat="false" ht="15" hidden="false" customHeight="true" outlineLevel="0" collapsed="false">
      <c r="B4" s="11" t="s">
        <v>41</v>
      </c>
      <c r="C4" s="11" t="s">
        <v>42</v>
      </c>
      <c r="D4" s="11" t="s">
        <v>43</v>
      </c>
      <c r="F4" s="11" t="s">
        <v>44</v>
      </c>
    </row>
    <row r="5" customFormat="false" ht="21.75" hidden="false" customHeight="true" outlineLevel="0" collapsed="false">
      <c r="B5" s="12" t="s">
        <v>45</v>
      </c>
      <c r="C5" s="13" t="n">
        <f aca="false">IF(AND($C$64="Actual Billing",ISNUMBER('Billing Usage Import'!$E$31)),'Billing Usage Import'!$E$31,F5)</f>
        <v>0.15</v>
      </c>
      <c r="D5" s="14" t="s">
        <v>46</v>
      </c>
      <c r="F5" s="15" t="n">
        <v>0.15</v>
      </c>
    </row>
    <row r="6" customFormat="false" ht="21.75" hidden="false" customHeight="true" outlineLevel="0" collapsed="false">
      <c r="B6" s="12" t="s">
        <v>47</v>
      </c>
      <c r="C6" s="16" t="n">
        <v>0.4</v>
      </c>
      <c r="D6" s="14" t="s">
        <v>48</v>
      </c>
    </row>
    <row r="7" customFormat="false" ht="21.75" hidden="false" customHeight="true" outlineLevel="0" collapsed="false">
      <c r="B7" s="12" t="s">
        <v>49</v>
      </c>
      <c r="C7" s="16" t="n">
        <v>0.2</v>
      </c>
      <c r="D7" s="14" t="s">
        <v>50</v>
      </c>
    </row>
    <row r="8" customFormat="false" ht="21.75" hidden="false" customHeight="true" outlineLevel="0" collapsed="false">
      <c r="B8" s="12" t="s">
        <v>51</v>
      </c>
      <c r="C8" s="16" t="n">
        <v>0.3</v>
      </c>
      <c r="D8" s="14" t="s">
        <v>52</v>
      </c>
    </row>
    <row r="9" customFormat="false" ht="21.75" hidden="false" customHeight="true" outlineLevel="0" collapsed="false">
      <c r="B9" s="12" t="s">
        <v>53</v>
      </c>
      <c r="C9" s="13" t="n">
        <f aca="false">IF(AND($C$64="Actual Billing",ISNUMBER('Billing Usage Import'!$E$32)),'Billing Usage Import'!$E$32,F9)</f>
        <v>0.35</v>
      </c>
      <c r="D9" s="14" t="s">
        <v>54</v>
      </c>
      <c r="F9" s="15" t="n">
        <v>0.35</v>
      </c>
    </row>
    <row r="10" customFormat="false" ht="21.75" hidden="false" customHeight="true" outlineLevel="0" collapsed="false">
      <c r="B10" s="12" t="s">
        <v>55</v>
      </c>
      <c r="C10" s="16" t="n">
        <v>0.35</v>
      </c>
      <c r="D10" s="14" t="s">
        <v>56</v>
      </c>
    </row>
    <row r="12" customFormat="false" ht="15.75" hidden="false" customHeight="true" outlineLevel="0" collapsed="false">
      <c r="B12" s="4" t="s">
        <v>57</v>
      </c>
    </row>
    <row r="14" customFormat="false" ht="128.25" hidden="false" customHeight="true" outlineLevel="0" collapsed="false">
      <c r="B14" s="11" t="s">
        <v>58</v>
      </c>
      <c r="C14" s="11" t="s">
        <v>59</v>
      </c>
      <c r="D14" s="11" t="s">
        <v>60</v>
      </c>
      <c r="E14" s="11" t="s">
        <v>61</v>
      </c>
      <c r="F14" s="11" t="s">
        <v>62</v>
      </c>
      <c r="G14" s="11" t="s">
        <v>63</v>
      </c>
    </row>
    <row r="15" customFormat="false" ht="15" hidden="false" customHeight="true" outlineLevel="0" collapsed="false">
      <c r="B15" s="12" t="s">
        <v>64</v>
      </c>
      <c r="C15" s="12" t="str">
        <f aca="false">IF($C$20="AWS",$C$41,IF($C$21="E-series (memory optimized)",$C$55,$C$48))</f>
        <v>m5.xlarge</v>
      </c>
      <c r="D15" s="17" t="n">
        <f aca="false">IF($C$20="AWS",$F$41,IF($C$21="E-series (memory optimized)",$F$55,$F$48))</f>
        <v>0.69</v>
      </c>
      <c r="E15" s="18" t="n">
        <f aca="false">IF($C$20="AWS",$G$41,IF($C$21="E-series (memory optimized)",$G$55,$G$48))</f>
        <v>0.192</v>
      </c>
      <c r="F15" s="19" t="n">
        <f aca="false">IF($C$20="AWS",$D$41,IF($C$21="E-series (memory optimized)",$D$55,$D$48))</f>
        <v>4</v>
      </c>
      <c r="G15" s="19" t="n">
        <f aca="false">IF($C$20="AWS",$E$41,IF($C$21="E-series (memory optimized)",$E$55,$E$48))</f>
        <v>16</v>
      </c>
    </row>
    <row r="16" customFormat="false" ht="15" hidden="false" customHeight="true" outlineLevel="0" collapsed="false">
      <c r="B16" s="12" t="s">
        <v>65</v>
      </c>
      <c r="C16" s="12" t="str">
        <f aca="false">IF($C$20="AWS",$C$42,IF($C$21="E-series (memory optimized)",$C$56,$C$49))</f>
        <v>m5.2xlarge</v>
      </c>
      <c r="D16" s="17" t="n">
        <f aca="false">IF($C$20="AWS",$F$42,IF($C$21="E-series (memory optimized)",$F$56,$F$49))</f>
        <v>1.38</v>
      </c>
      <c r="E16" s="18" t="n">
        <f aca="false">IF($C$20="AWS",$G$42,IF($C$21="E-series (memory optimized)",$G$56,$G$49))</f>
        <v>0.384</v>
      </c>
      <c r="F16" s="19" t="n">
        <f aca="false">IF($C$20="AWS",$D$42,IF($C$21="E-series (memory optimized)",$D$56,$D$49))</f>
        <v>8</v>
      </c>
      <c r="G16" s="19" t="n">
        <f aca="false">IF($C$20="AWS",$E$42,IF($C$21="E-series (memory optimized)",$E$56,$E$49))</f>
        <v>32</v>
      </c>
    </row>
    <row r="17" customFormat="false" ht="15" hidden="false" customHeight="true" outlineLevel="0" collapsed="false">
      <c r="B17" s="12" t="s">
        <v>66</v>
      </c>
      <c r="C17" s="12" t="str">
        <f aca="false">IF($C$20="AWS",$C$43,IF($C$21="E-series (memory optimized)",$C$57,$C$50))</f>
        <v>r5.4xlarge</v>
      </c>
      <c r="D17" s="17" t="n">
        <f aca="false">IF($C$20="AWS",$F$43,IF($C$21="E-series (memory optimized)",$F$57,$F$50))</f>
        <v>3.6</v>
      </c>
      <c r="E17" s="18" t="n">
        <f aca="false">IF($C$20="AWS",$G$43,IF($C$21="E-series (memory optimized)",$G$57,$G$50))</f>
        <v>1.008</v>
      </c>
      <c r="F17" s="19" t="n">
        <f aca="false">IF($C$20="AWS",$D$43,IF($C$21="E-series (memory optimized)",$D$57,$D$50))</f>
        <v>16</v>
      </c>
      <c r="G17" s="19" t="n">
        <f aca="false">IF($C$20="AWS",$E$43,IF($C$21="E-series (memory optimized)",$E$57,$E$50))</f>
        <v>128</v>
      </c>
    </row>
    <row r="18" customFormat="false" ht="15" hidden="false" customHeight="true" outlineLevel="0" collapsed="false">
      <c r="B18" s="12" t="s">
        <v>67</v>
      </c>
      <c r="C18" s="12" t="str">
        <f aca="false">IF($C$20="AWS",$C$44,IF($C$21="E-series (memory optimized)",$C$58,$C$51))</f>
        <v>r5.8xlarge</v>
      </c>
      <c r="D18" s="20" t="n">
        <f aca="false">IF($C$20="AWS",$F$44,IF($C$21="E-series (memory optimized)",$F$58,$F$51))</f>
        <v>7.2</v>
      </c>
      <c r="E18" s="21" t="n">
        <f aca="false">IF($C$20="AWS",$G$44,IF($C$21="E-series (memory optimized)",$G$58,$G$51))</f>
        <v>2.016</v>
      </c>
      <c r="F18" s="19" t="n">
        <f aca="false">IF($C$20="AWS",$D$44,IF($C$21="E-series (memory optimized)",$D$58,$D$51))</f>
        <v>32</v>
      </c>
      <c r="G18" s="19" t="n">
        <f aca="false">IF($C$20="AWS",$E$44,IF($C$21="E-series (memory optimized)",$E$58,$E$51))</f>
        <v>256</v>
      </c>
    </row>
    <row r="19" customFormat="false" ht="15" hidden="false" customHeight="true" outlineLevel="0" collapsed="false">
      <c r="B19" s="22"/>
      <c r="C19" s="23"/>
      <c r="D19" s="24"/>
    </row>
    <row r="20" customFormat="false" ht="15" hidden="false" customHeight="true" outlineLevel="0" collapsed="false">
      <c r="B20" s="22" t="s">
        <v>68</v>
      </c>
      <c r="C20" s="25" t="s">
        <v>69</v>
      </c>
      <c r="D20" s="24" t="s">
        <v>70</v>
      </c>
      <c r="E20" s="24"/>
      <c r="F20" s="24"/>
      <c r="G20" s="24"/>
    </row>
    <row r="21" customFormat="false" ht="15" hidden="false" customHeight="true" outlineLevel="0" collapsed="false">
      <c r="B21" s="22" t="s">
        <v>71</v>
      </c>
      <c r="C21" s="25" t="s">
        <v>72</v>
      </c>
      <c r="D21" s="24" t="s">
        <v>73</v>
      </c>
      <c r="E21" s="24"/>
      <c r="F21" s="24"/>
      <c r="G21" s="24"/>
    </row>
    <row r="22" customFormat="false" ht="15.75" hidden="false" customHeight="true" outlineLevel="0" collapsed="false">
      <c r="B22" s="4"/>
    </row>
    <row r="23" customFormat="false" ht="15" hidden="false" customHeight="true" outlineLevel="0" collapsed="false">
      <c r="B23" s="10" t="s">
        <v>74</v>
      </c>
    </row>
    <row r="24" customFormat="false" ht="26.25" hidden="false" customHeight="true" outlineLevel="0" collapsed="false">
      <c r="B24" s="11"/>
      <c r="C24" s="11"/>
      <c r="D24" s="11"/>
    </row>
    <row r="25" customFormat="false" ht="15" hidden="false" customHeight="true" outlineLevel="0" collapsed="false">
      <c r="B25" s="26" t="s">
        <v>75</v>
      </c>
      <c r="C25" s="12"/>
      <c r="D25" s="27"/>
    </row>
    <row r="26" customFormat="false" ht="15" hidden="false" customHeight="true" outlineLevel="0" collapsed="false">
      <c r="B26" s="12"/>
      <c r="C26" s="12"/>
      <c r="D26" s="27"/>
    </row>
    <row r="27" customFormat="false" ht="26.25" hidden="false" customHeight="true" outlineLevel="0" collapsed="false">
      <c r="B27" s="11" t="s">
        <v>76</v>
      </c>
      <c r="C27" s="11" t="s">
        <v>77</v>
      </c>
      <c r="D27" s="11" t="s">
        <v>78</v>
      </c>
    </row>
    <row r="28" customFormat="false" ht="15" hidden="false" customHeight="true" outlineLevel="0" collapsed="false">
      <c r="B28" s="12" t="s">
        <v>79</v>
      </c>
      <c r="C28" s="12" t="s">
        <v>80</v>
      </c>
      <c r="D28" s="28" t="n">
        <f aca="false">C5</f>
        <v>0.15</v>
      </c>
    </row>
    <row r="29" customFormat="false" ht="15" hidden="false" customHeight="true" outlineLevel="0" collapsed="false">
      <c r="B29" s="12" t="s">
        <v>81</v>
      </c>
      <c r="C29" s="12" t="s">
        <v>82</v>
      </c>
      <c r="D29" s="28" t="n">
        <f aca="false">C9</f>
        <v>0.35</v>
      </c>
    </row>
    <row r="30" customFormat="false" ht="15" hidden="false" customHeight="true" outlineLevel="0" collapsed="false">
      <c r="B30" s="12" t="s">
        <v>83</v>
      </c>
      <c r="C30" s="12" t="s">
        <v>80</v>
      </c>
      <c r="D30" s="28" t="n">
        <f aca="false">C5</f>
        <v>0.15</v>
      </c>
    </row>
    <row r="31" customFormat="false" ht="15.75" hidden="false" customHeight="true" outlineLevel="0" collapsed="false">
      <c r="B31" s="4"/>
    </row>
    <row r="32" customFormat="false" ht="27.75" hidden="false" customHeight="true" outlineLevel="0" collapsed="false">
      <c r="B32" s="29" t="s">
        <v>84</v>
      </c>
      <c r="C32" s="29"/>
      <c r="D32" s="29"/>
      <c r="E32" s="29"/>
      <c r="F32" s="29"/>
      <c r="G32" s="29"/>
    </row>
    <row r="33" customFormat="false" ht="15" hidden="false" customHeight="true" outlineLevel="0" collapsed="false">
      <c r="B33" s="10"/>
    </row>
    <row r="34" customFormat="false" ht="15.75" hidden="false" customHeight="true" outlineLevel="0" collapsed="false">
      <c r="B34" s="4" t="s">
        <v>85</v>
      </c>
    </row>
    <row r="35" customFormat="false" ht="15" hidden="false" customHeight="true" outlineLevel="0" collapsed="false">
      <c r="B35" s="10" t="s">
        <v>86</v>
      </c>
    </row>
    <row r="37" customFormat="false" ht="15.75" hidden="false" customHeight="true" outlineLevel="0" collapsed="false">
      <c r="B37" s="4" t="s">
        <v>87</v>
      </c>
    </row>
    <row r="39" customFormat="false" ht="15" hidden="false" customHeight="true" outlineLevel="0" collapsed="false">
      <c r="B39" s="6" t="s">
        <v>69</v>
      </c>
    </row>
    <row r="40" customFormat="false" ht="51.75" hidden="false" customHeight="true" outlineLevel="0" collapsed="false">
      <c r="B40" s="11" t="s">
        <v>88</v>
      </c>
      <c r="C40" s="11" t="s">
        <v>59</v>
      </c>
      <c r="D40" s="11" t="s">
        <v>89</v>
      </c>
      <c r="E40" s="11" t="s">
        <v>90</v>
      </c>
      <c r="F40" s="11" t="s">
        <v>91</v>
      </c>
      <c r="G40" s="11" t="s">
        <v>92</v>
      </c>
    </row>
    <row r="41" customFormat="false" ht="15" hidden="false" customHeight="true" outlineLevel="0" collapsed="false">
      <c r="B41" s="12" t="s">
        <v>64</v>
      </c>
      <c r="C41" s="30" t="s">
        <v>93</v>
      </c>
      <c r="D41" s="31" t="n">
        <v>4</v>
      </c>
      <c r="E41" s="31" t="n">
        <v>16</v>
      </c>
      <c r="F41" s="17" t="n">
        <f aca="false">IF($C$64&lt;&gt;"Actual Billing",H41,IFERROR(IF(ISNUMBER(INDEX('Billing Usage Import'!$E$39:$E$50,MATCH($C41,'Billing Usage Import'!$B$39:$B$50,0))),INDEX('Billing Usage Import'!$E$39:$E$50,MATCH($C41,'Billing Usage Import'!$B$39:$B$50,0)),H41),H41))</f>
        <v>0.69</v>
      </c>
      <c r="G41" s="32" t="n">
        <v>0.192</v>
      </c>
      <c r="H41" s="33" t="n">
        <v>0.69</v>
      </c>
    </row>
    <row r="42" customFormat="false" ht="15" hidden="false" customHeight="true" outlineLevel="0" collapsed="false">
      <c r="B42" s="12" t="s">
        <v>65</v>
      </c>
      <c r="C42" s="30" t="s">
        <v>94</v>
      </c>
      <c r="D42" s="31" t="n">
        <v>8</v>
      </c>
      <c r="E42" s="31" t="n">
        <v>32</v>
      </c>
      <c r="F42" s="17" t="n">
        <f aca="false">IF($C$64&lt;&gt;"Actual Billing",H42,IFERROR(IF(ISNUMBER(INDEX('Billing Usage Import'!$E$39:$E$50,MATCH($C42,'Billing Usage Import'!$B$39:$B$50,0))),INDEX('Billing Usage Import'!$E$39:$E$50,MATCH($C42,'Billing Usage Import'!$B$39:$B$50,0)),H42),H42))</f>
        <v>1.38</v>
      </c>
      <c r="G42" s="32" t="n">
        <v>0.384</v>
      </c>
      <c r="H42" s="33" t="n">
        <v>1.38</v>
      </c>
    </row>
    <row r="43" customFormat="false" ht="15" hidden="false" customHeight="true" outlineLevel="0" collapsed="false">
      <c r="B43" s="12" t="s">
        <v>66</v>
      </c>
      <c r="C43" s="30" t="s">
        <v>95</v>
      </c>
      <c r="D43" s="31" t="n">
        <v>16</v>
      </c>
      <c r="E43" s="31" t="n">
        <v>128</v>
      </c>
      <c r="F43" s="17" t="n">
        <f aca="false">IF($C$64&lt;&gt;"Actual Billing",H43,IFERROR(IF(ISNUMBER(INDEX('Billing Usage Import'!$E$39:$E$50,MATCH($C43,'Billing Usage Import'!$B$39:$B$50,0))),INDEX('Billing Usage Import'!$E$39:$E$50,MATCH($C43,'Billing Usage Import'!$B$39:$B$50,0)),H43),H43))</f>
        <v>3.6</v>
      </c>
      <c r="G43" s="32" t="n">
        <v>1.008</v>
      </c>
      <c r="H43" s="34" t="n">
        <v>3.6</v>
      </c>
    </row>
    <row r="44" customFormat="false" ht="15.75" hidden="false" customHeight="true" outlineLevel="0" collapsed="false">
      <c r="B44" s="12" t="s">
        <v>67</v>
      </c>
      <c r="C44" s="30" t="s">
        <v>96</v>
      </c>
      <c r="D44" s="31" t="n">
        <v>32</v>
      </c>
      <c r="E44" s="31" t="n">
        <v>256</v>
      </c>
      <c r="F44" s="17" t="n">
        <f aca="false">IF($C$64&lt;&gt;"Actual Billing",H44,IFERROR(IF(ISNUMBER(INDEX('Billing Usage Import'!$E$39:$E$50,MATCH($C44,'Billing Usage Import'!$B$39:$B$50,0))),INDEX('Billing Usage Import'!$E$39:$E$50,MATCH($C44,'Billing Usage Import'!$B$39:$B$50,0)),H44),H44))</f>
        <v>7.2</v>
      </c>
      <c r="G44" s="32" t="n">
        <v>2.016</v>
      </c>
      <c r="H44" s="33" t="n">
        <v>7.2</v>
      </c>
    </row>
    <row r="46" customFormat="false" ht="51.75" hidden="false" customHeight="true" outlineLevel="0" collapsed="false">
      <c r="B46" s="35" t="s">
        <v>97</v>
      </c>
      <c r="C46" s="11"/>
      <c r="D46" s="11"/>
      <c r="E46" s="11"/>
      <c r="F46" s="11"/>
      <c r="G46" s="11"/>
      <c r="H46" s="11"/>
    </row>
    <row r="47" customFormat="false" ht="15" hidden="false" customHeight="true" outlineLevel="0" collapsed="false">
      <c r="B47" s="11" t="s">
        <v>88</v>
      </c>
      <c r="C47" s="11" t="s">
        <v>59</v>
      </c>
      <c r="D47" s="36" t="s">
        <v>89</v>
      </c>
      <c r="E47" s="36" t="s">
        <v>90</v>
      </c>
      <c r="F47" s="37" t="s">
        <v>91</v>
      </c>
      <c r="G47" s="38" t="s">
        <v>92</v>
      </c>
      <c r="H47" s="33"/>
    </row>
    <row r="48" customFormat="false" ht="15" hidden="false" customHeight="true" outlineLevel="0" collapsed="false">
      <c r="B48" s="12" t="s">
        <v>64</v>
      </c>
      <c r="C48" s="30" t="s">
        <v>98</v>
      </c>
      <c r="D48" s="31" t="n">
        <v>4</v>
      </c>
      <c r="E48" s="31" t="n">
        <v>16</v>
      </c>
      <c r="F48" s="17" t="n">
        <f aca="false">IF($C$64&lt;&gt;"Actual Billing",H48,IFERROR(IF(ISNUMBER(INDEX('Billing Usage Import'!$E$39:$E$50,MATCH($C48,'Billing Usage Import'!$B$39:$B$50,0))),INDEX('Billing Usage Import'!$E$39:$E$50,MATCH($C48,'Billing Usage Import'!$B$39:$B$50,0)),H48),H48))</f>
        <v>1</v>
      </c>
      <c r="G48" s="32" t="n">
        <v>0.211</v>
      </c>
      <c r="H48" s="33" t="n">
        <v>1</v>
      </c>
    </row>
    <row r="49" customFormat="false" ht="15" hidden="false" customHeight="true" outlineLevel="0" collapsed="false">
      <c r="B49" s="12" t="s">
        <v>65</v>
      </c>
      <c r="C49" s="30" t="s">
        <v>99</v>
      </c>
      <c r="D49" s="31" t="n">
        <v>8</v>
      </c>
      <c r="E49" s="31" t="n">
        <v>32</v>
      </c>
      <c r="F49" s="17" t="n">
        <f aca="false">IF($C$64&lt;&gt;"Actual Billing",H49,IFERROR(IF(ISNUMBER(INDEX('Billing Usage Import'!$E$39:$E$50,MATCH($C49,'Billing Usage Import'!$B$39:$B$50,0))),INDEX('Billing Usage Import'!$E$39:$E$50,MATCH($C49,'Billing Usage Import'!$B$39:$B$50,0)),H49),H49))</f>
        <v>2</v>
      </c>
      <c r="G49" s="32" t="n">
        <v>0.422</v>
      </c>
      <c r="H49" s="33" t="n">
        <v>2</v>
      </c>
    </row>
    <row r="50" customFormat="false" ht="15" hidden="false" customHeight="true" outlineLevel="0" collapsed="false">
      <c r="B50" s="12" t="s">
        <v>66</v>
      </c>
      <c r="C50" s="30" t="s">
        <v>100</v>
      </c>
      <c r="D50" s="31" t="n">
        <v>16</v>
      </c>
      <c r="E50" s="31" t="n">
        <v>64</v>
      </c>
      <c r="F50" s="17" t="n">
        <f aca="false">IF($C$64&lt;&gt;"Actual Billing",H50,IFERROR(IF(ISNUMBER(INDEX('Billing Usage Import'!$E$39:$E$50,MATCH($C50,'Billing Usage Import'!$B$39:$B$50,0))),INDEX('Billing Usage Import'!$E$39:$E$50,MATCH($C50,'Billing Usage Import'!$B$39:$B$50,0)),H50),H50))</f>
        <v>4</v>
      </c>
      <c r="G50" s="32" t="n">
        <v>0.845</v>
      </c>
      <c r="H50" s="33" t="n">
        <v>4</v>
      </c>
    </row>
    <row r="51" customFormat="false" ht="15" hidden="false" customHeight="true" outlineLevel="0" collapsed="false">
      <c r="B51" s="12" t="s">
        <v>67</v>
      </c>
      <c r="C51" s="30" t="s">
        <v>101</v>
      </c>
      <c r="D51" s="31" t="n">
        <v>32</v>
      </c>
      <c r="E51" s="31" t="n">
        <v>128</v>
      </c>
      <c r="F51" s="17" t="n">
        <f aca="false">IF($C$64&lt;&gt;"Actual Billing",H51,IFERROR(IF(ISNUMBER(INDEX('Billing Usage Import'!$E$39:$E$50,MATCH($C51,'Billing Usage Import'!$B$39:$B$50,0))),INDEX('Billing Usage Import'!$E$39:$E$50,MATCH($C51,'Billing Usage Import'!$B$39:$B$50,0)),H51),H51))</f>
        <v>8</v>
      </c>
      <c r="G51" s="32" t="n">
        <v>1.69</v>
      </c>
      <c r="H51" s="33" t="n">
        <v>8</v>
      </c>
    </row>
    <row r="52" customFormat="false" ht="26.25" hidden="false" customHeight="true" outlineLevel="0" collapsed="false">
      <c r="B52" s="39"/>
      <c r="C52" s="40"/>
      <c r="D52" s="41"/>
      <c r="E52" s="41"/>
      <c r="F52" s="42"/>
      <c r="G52" s="43"/>
      <c r="H52" s="33"/>
    </row>
    <row r="53" customFormat="false" ht="15" hidden="false" customHeight="true" outlineLevel="0" collapsed="false">
      <c r="B53" s="22" t="s">
        <v>102</v>
      </c>
      <c r="C53" s="30"/>
      <c r="D53" s="31"/>
      <c r="E53" s="31"/>
      <c r="F53" s="17"/>
      <c r="G53" s="32"/>
      <c r="H53" s="33"/>
    </row>
    <row r="54" customFormat="false" ht="15" hidden="false" customHeight="true" outlineLevel="0" collapsed="false">
      <c r="B54" s="11" t="s">
        <v>88</v>
      </c>
      <c r="C54" s="11" t="s">
        <v>59</v>
      </c>
      <c r="D54" s="36" t="s">
        <v>89</v>
      </c>
      <c r="E54" s="36" t="s">
        <v>90</v>
      </c>
      <c r="F54" s="37" t="s">
        <v>91</v>
      </c>
      <c r="G54" s="38" t="s">
        <v>92</v>
      </c>
      <c r="H54" s="33"/>
    </row>
    <row r="55" customFormat="false" ht="15" hidden="false" customHeight="true" outlineLevel="0" collapsed="false">
      <c r="B55" s="12" t="s">
        <v>64</v>
      </c>
      <c r="C55" s="30" t="s">
        <v>103</v>
      </c>
      <c r="D55" s="31" t="n">
        <v>4</v>
      </c>
      <c r="E55" s="31" t="n">
        <v>32</v>
      </c>
      <c r="F55" s="17" t="n">
        <f aca="false">IF($C$64&lt;&gt;"Actual Billing",H55,IFERROR(IF(ISNUMBER(INDEX('Billing Usage Import'!$E$39:$E$50,MATCH($C55,'Billing Usage Import'!$B$39:$B$50,0))),INDEX('Billing Usage Import'!$E$39:$E$50,MATCH($C55,'Billing Usage Import'!$B$39:$B$50,0)),H55),H55))</f>
        <v>1.25</v>
      </c>
      <c r="G55" s="32" t="n">
        <v>0.277</v>
      </c>
      <c r="H55" s="33" t="n">
        <v>1.25</v>
      </c>
    </row>
    <row r="56" customFormat="false" ht="15" hidden="false" customHeight="true" outlineLevel="0" collapsed="false">
      <c r="B56" s="12" t="s">
        <v>65</v>
      </c>
      <c r="C56" s="30" t="s">
        <v>104</v>
      </c>
      <c r="D56" s="31" t="n">
        <v>8</v>
      </c>
      <c r="E56" s="31" t="n">
        <v>64</v>
      </c>
      <c r="F56" s="17" t="n">
        <f aca="false">IF($C$64&lt;&gt;"Actual Billing",H56,IFERROR(IF(ISNUMBER(INDEX('Billing Usage Import'!$E$39:$E$50,MATCH($C56,'Billing Usage Import'!$B$39:$B$50,0))),INDEX('Billing Usage Import'!$E$39:$E$50,MATCH($C56,'Billing Usage Import'!$B$39:$B$50,0)),H56),H56))</f>
        <v>2.5</v>
      </c>
      <c r="G56" s="32" t="n">
        <v>0.554</v>
      </c>
      <c r="H56" s="33" t="n">
        <v>2.5</v>
      </c>
    </row>
    <row r="57" customFormat="false" ht="26.25" hidden="false" customHeight="true" outlineLevel="0" collapsed="false">
      <c r="B57" s="39" t="s">
        <v>66</v>
      </c>
      <c r="C57" s="40" t="s">
        <v>105</v>
      </c>
      <c r="D57" s="41" t="n">
        <v>16</v>
      </c>
      <c r="E57" s="41" t="n">
        <v>128</v>
      </c>
      <c r="F57" s="42" t="n">
        <f aca="false">IF($C$64&lt;&gt;"Actual Billing",H57,IFERROR(IF(ISNUMBER(INDEX('Billing Usage Import'!$E$39:$E$50,MATCH($C57,'Billing Usage Import'!$B$39:$B$50,0))),INDEX('Billing Usage Import'!$E$39:$E$50,MATCH($C57,'Billing Usage Import'!$B$39:$B$50,0)),H57),H57))</f>
        <v>5</v>
      </c>
      <c r="G57" s="43" t="n">
        <v>1.109</v>
      </c>
      <c r="H57" s="33" t="n">
        <v>5</v>
      </c>
    </row>
    <row r="58" customFormat="false" ht="15" hidden="false" customHeight="true" outlineLevel="0" collapsed="false">
      <c r="B58" s="12" t="s">
        <v>67</v>
      </c>
      <c r="C58" s="30" t="s">
        <v>106</v>
      </c>
      <c r="D58" s="31" t="n">
        <v>32</v>
      </c>
      <c r="E58" s="31" t="n">
        <v>256</v>
      </c>
      <c r="F58" s="17" t="n">
        <f aca="false">IF($C$64&lt;&gt;"Actual Billing",H58,IFERROR(IF(ISNUMBER(INDEX('Billing Usage Import'!$E$39:$E$50,MATCH($C58,'Billing Usage Import'!$B$39:$B$50,0))),INDEX('Billing Usage Import'!$E$39:$E$50,MATCH($C58,'Billing Usage Import'!$B$39:$B$50,0)),H58),H58))</f>
        <v>10</v>
      </c>
      <c r="G58" s="32" t="n">
        <v>2.218</v>
      </c>
      <c r="H58" s="33" t="n">
        <v>10</v>
      </c>
    </row>
    <row r="59" customFormat="false" ht="15" hidden="false" customHeight="true" outlineLevel="0" collapsed="false">
      <c r="B59" s="12"/>
      <c r="C59" s="30"/>
      <c r="D59" s="31"/>
      <c r="E59" s="31"/>
      <c r="F59" s="17"/>
      <c r="G59" s="32"/>
      <c r="H59" s="33"/>
    </row>
    <row r="60" customFormat="false" ht="27.75" hidden="false" customHeight="true" outlineLevel="0" collapsed="false">
      <c r="B60" s="29" t="s">
        <v>107</v>
      </c>
      <c r="C60" s="29"/>
      <c r="D60" s="29"/>
      <c r="E60" s="29"/>
      <c r="F60" s="29"/>
      <c r="G60" s="29"/>
    </row>
    <row r="61" customFormat="false" ht="27.75" hidden="false" customHeight="true" outlineLevel="0" collapsed="false">
      <c r="B61" s="10"/>
    </row>
    <row r="62" customFormat="false" ht="15.75" hidden="false" customHeight="true" outlineLevel="0" collapsed="false">
      <c r="B62" s="4" t="s">
        <v>108</v>
      </c>
    </row>
    <row r="63" customFormat="false" ht="15.75" hidden="false" customHeight="true" outlineLevel="0" collapsed="false">
      <c r="B63" s="4"/>
    </row>
    <row r="64" customFormat="false" ht="15" hidden="false" customHeight="true" outlineLevel="0" collapsed="false">
      <c r="B64" s="22" t="s">
        <v>109</v>
      </c>
      <c r="C64" s="25" t="s">
        <v>110</v>
      </c>
      <c r="D64" s="14" t="s">
        <v>111</v>
      </c>
      <c r="E64" s="14"/>
      <c r="F64" s="14"/>
      <c r="G64" s="14"/>
    </row>
    <row r="65" customFormat="false" ht="15" hidden="false" customHeight="true" outlineLevel="0" collapsed="false">
      <c r="B65" s="22"/>
      <c r="C65" s="23"/>
      <c r="D65" s="14"/>
      <c r="E65" s="14"/>
      <c r="F65" s="14"/>
      <c r="G65" s="14"/>
    </row>
    <row r="66" customFormat="false" ht="15" hidden="false" customHeight="true" outlineLevel="0" collapsed="false">
      <c r="B66" s="44"/>
      <c r="C66" s="44"/>
    </row>
  </sheetData>
  <mergeCells count="5">
    <mergeCell ref="D20:G20"/>
    <mergeCell ref="D21:G21"/>
    <mergeCell ref="B32:G32"/>
    <mergeCell ref="B60:G60"/>
    <mergeCell ref="D64:G65"/>
  </mergeCells>
  <dataValidations count="3">
    <dataValidation allowBlank="false" errorStyle="stop" operator="between" showDropDown="false" showErrorMessage="false" showInputMessage="false" sqref="C20" type="list">
      <formula1>"AWS,Azure"</formula1>
      <formula2>0</formula2>
    </dataValidation>
    <dataValidation allowBlank="false" errorStyle="stop" operator="between" showDropDown="false" showErrorMessage="false" showInputMessage="false" sqref="C21" type="list">
      <formula1>"D-series (general purpose),E-series (memory optimized)"</formula1>
      <formula2>0</formula2>
    </dataValidation>
    <dataValidation allowBlank="false" errorStyle="stop" operator="between" showDropDown="false" showErrorMessage="false" showInputMessage="false" sqref="C64" type="list">
      <formula1>"List Price,Actual Billing"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6" min="5" style="1" width="16"/>
  </cols>
  <sheetData>
    <row r="2" customFormat="false" ht="18" hidden="false" customHeight="true" outlineLevel="0" collapsed="false">
      <c r="B2" s="45" t="s">
        <v>112</v>
      </c>
      <c r="C2" s="45"/>
      <c r="D2" s="45"/>
      <c r="E2" s="45"/>
      <c r="F2" s="45"/>
    </row>
    <row r="3" customFormat="false" ht="15" hidden="false" customHeight="true" outlineLevel="0" collapsed="false">
      <c r="B3" s="46" t="s">
        <v>113</v>
      </c>
      <c r="C3" s="46"/>
      <c r="D3" s="46"/>
      <c r="E3" s="46"/>
      <c r="F3" s="46"/>
    </row>
    <row r="5" customFormat="false" ht="15.75" hidden="false" customHeight="true" outlineLevel="0" collapsed="false">
      <c r="B5" s="4" t="s">
        <v>114</v>
      </c>
    </row>
    <row r="6" customFormat="false" ht="15" hidden="false" customHeight="true" outlineLevel="0" collapsed="false">
      <c r="B6" s="47" t="s">
        <v>115</v>
      </c>
      <c r="C6" s="47"/>
      <c r="D6" s="47"/>
      <c r="E6" s="47"/>
      <c r="F6" s="47"/>
    </row>
    <row r="7" customFormat="false" ht="15" hidden="false" customHeight="true" outlineLevel="0" collapsed="false">
      <c r="B7" s="47"/>
      <c r="C7" s="47"/>
      <c r="D7" s="47"/>
      <c r="E7" s="47"/>
      <c r="F7" s="47"/>
    </row>
    <row r="8" customFormat="false" ht="15" hidden="false" customHeight="true" outlineLevel="0" collapsed="false">
      <c r="B8" s="47"/>
      <c r="C8" s="47"/>
      <c r="D8" s="47"/>
      <c r="E8" s="47"/>
      <c r="F8" s="47"/>
    </row>
    <row r="9" customFormat="false" ht="15" hidden="false" customHeight="true" outlineLevel="0" collapsed="false">
      <c r="B9" s="47"/>
      <c r="C9" s="47"/>
      <c r="D9" s="47"/>
      <c r="E9" s="47"/>
      <c r="F9" s="47"/>
    </row>
    <row r="10" customFormat="false" ht="15" hidden="false" customHeight="true" outlineLevel="0" collapsed="false">
      <c r="B10" s="47"/>
      <c r="C10" s="47"/>
      <c r="D10" s="47"/>
      <c r="E10" s="47"/>
      <c r="F10" s="47"/>
    </row>
    <row r="11" customFormat="false" ht="15" hidden="false" customHeight="true" outlineLevel="0" collapsed="false">
      <c r="B11" s="47"/>
      <c r="C11" s="47"/>
      <c r="D11" s="47"/>
      <c r="E11" s="47"/>
      <c r="F11" s="47"/>
    </row>
    <row r="12" customFormat="false" ht="15" hidden="false" customHeight="true" outlineLevel="0" collapsed="false">
      <c r="B12" s="47"/>
      <c r="C12" s="47"/>
      <c r="D12" s="47"/>
      <c r="E12" s="47"/>
      <c r="F12" s="47"/>
    </row>
    <row r="13" customFormat="false" ht="15" hidden="false" customHeight="true" outlineLevel="0" collapsed="false">
      <c r="B13" s="47"/>
      <c r="C13" s="47"/>
      <c r="D13" s="47"/>
      <c r="E13" s="47"/>
      <c r="F13" s="47"/>
    </row>
    <row r="15" customFormat="false" ht="15" hidden="false" customHeight="true" outlineLevel="0" collapsed="false">
      <c r="B15" s="48" t="s">
        <v>116</v>
      </c>
      <c r="C15" s="48"/>
      <c r="D15" s="48"/>
      <c r="E15" s="48"/>
      <c r="F15" s="48"/>
    </row>
    <row r="16" customFormat="false" ht="15" hidden="false" customHeight="true" outlineLevel="0" collapsed="false">
      <c r="B16" s="48"/>
      <c r="C16" s="48"/>
      <c r="D16" s="48"/>
      <c r="E16" s="48"/>
      <c r="F16" s="48"/>
    </row>
    <row r="18" customFormat="false" ht="15.75" hidden="false" customHeight="true" outlineLevel="0" collapsed="false">
      <c r="B18" s="4" t="s">
        <v>117</v>
      </c>
    </row>
    <row r="19" customFormat="false" ht="15" hidden="false" customHeight="true" outlineLevel="0" collapsed="false">
      <c r="B19" s="47" t="s">
        <v>118</v>
      </c>
      <c r="C19" s="47"/>
      <c r="D19" s="47"/>
      <c r="E19" s="47"/>
      <c r="F19" s="47"/>
    </row>
    <row r="20" customFormat="false" ht="15" hidden="false" customHeight="true" outlineLevel="0" collapsed="false">
      <c r="B20" s="47"/>
      <c r="C20" s="47"/>
      <c r="D20" s="47"/>
      <c r="E20" s="47"/>
      <c r="F20" s="47"/>
    </row>
    <row r="21" customFormat="false" ht="15" hidden="false" customHeight="true" outlineLevel="0" collapsed="false">
      <c r="B21" s="47"/>
      <c r="C21" s="47"/>
      <c r="D21" s="47"/>
      <c r="E21" s="47"/>
      <c r="F21" s="47"/>
    </row>
    <row r="22" customFormat="false" ht="15" hidden="false" customHeight="true" outlineLevel="0" collapsed="false">
      <c r="B22" s="47"/>
      <c r="C22" s="47"/>
      <c r="D22" s="47"/>
      <c r="E22" s="47"/>
      <c r="F22" s="47"/>
    </row>
    <row r="23" customFormat="false" ht="15" hidden="false" customHeight="true" outlineLevel="0" collapsed="false">
      <c r="B23" s="47"/>
      <c r="C23" s="47"/>
      <c r="D23" s="47"/>
      <c r="E23" s="47"/>
      <c r="F23" s="47"/>
    </row>
    <row r="24" customFormat="false" ht="15" hidden="false" customHeight="true" outlineLevel="0" collapsed="false">
      <c r="B24" s="47"/>
      <c r="C24" s="47"/>
      <c r="D24" s="47"/>
      <c r="E24" s="47"/>
      <c r="F24" s="47"/>
    </row>
    <row r="26" customFormat="false" ht="15" hidden="false" customHeight="true" outlineLevel="0" collapsed="false">
      <c r="B26" s="48" t="s">
        <v>119</v>
      </c>
      <c r="C26" s="48"/>
      <c r="D26" s="48"/>
      <c r="E26" s="48"/>
      <c r="F26" s="48"/>
    </row>
    <row r="27" customFormat="false" ht="15" hidden="false" customHeight="true" outlineLevel="0" collapsed="false">
      <c r="B27" s="48"/>
      <c r="C27" s="48"/>
      <c r="D27" s="48"/>
      <c r="E27" s="48"/>
      <c r="F27" s="48"/>
    </row>
    <row r="29" customFormat="false" ht="15.75" hidden="false" customHeight="true" outlineLevel="0" collapsed="false">
      <c r="B29" s="4" t="s">
        <v>120</v>
      </c>
    </row>
    <row r="30" customFormat="false" ht="26.25" hidden="false" customHeight="true" outlineLevel="0" collapsed="false">
      <c r="B30" s="11" t="s">
        <v>76</v>
      </c>
      <c r="C30" s="11" t="s">
        <v>121</v>
      </c>
      <c r="D30" s="11" t="s">
        <v>122</v>
      </c>
      <c r="E30" s="11" t="s">
        <v>123</v>
      </c>
    </row>
    <row r="31" customFormat="false" ht="15" hidden="false" customHeight="true" outlineLevel="0" collapsed="false">
      <c r="B31" s="12" t="s">
        <v>79</v>
      </c>
      <c r="C31" s="49" t="n">
        <v>0</v>
      </c>
      <c r="D31" s="50" t="n">
        <v>0</v>
      </c>
      <c r="E31" s="51" t="str">
        <f aca="false">IFERROR(D31/C31,"")</f>
        <v/>
      </c>
    </row>
    <row r="32" customFormat="false" ht="15" hidden="false" customHeight="true" outlineLevel="0" collapsed="false">
      <c r="B32" s="12" t="s">
        <v>124</v>
      </c>
      <c r="C32" s="49" t="n">
        <v>0</v>
      </c>
      <c r="D32" s="50" t="n">
        <v>0</v>
      </c>
      <c r="E32" s="51" t="str">
        <f aca="false">IFERROR(D32/C32,"")</f>
        <v/>
      </c>
    </row>
    <row r="34" customFormat="false" ht="15" hidden="false" customHeight="true" outlineLevel="0" collapsed="false">
      <c r="B34" s="29" t="s">
        <v>125</v>
      </c>
      <c r="C34" s="29"/>
      <c r="D34" s="29"/>
      <c r="E34" s="29"/>
      <c r="F34" s="29"/>
    </row>
    <row r="36" customFormat="false" ht="15.75" hidden="false" customHeight="true" outlineLevel="0" collapsed="false">
      <c r="B36" s="4" t="s">
        <v>126</v>
      </c>
    </row>
    <row r="37" customFormat="false" ht="26.25" hidden="false" customHeight="true" outlineLevel="0" collapsed="false">
      <c r="B37" s="11" t="s">
        <v>59</v>
      </c>
      <c r="C37" s="11" t="s">
        <v>121</v>
      </c>
      <c r="D37" s="11" t="s">
        <v>127</v>
      </c>
      <c r="E37" s="11" t="s">
        <v>128</v>
      </c>
    </row>
    <row r="38" customFormat="false" ht="15" hidden="false" customHeight="true" outlineLevel="0" collapsed="false">
      <c r="B38" s="52" t="s">
        <v>129</v>
      </c>
      <c r="C38" s="53" t="n">
        <v>12500</v>
      </c>
      <c r="D38" s="53" t="n">
        <v>18100</v>
      </c>
      <c r="E38" s="54" t="n">
        <f aca="false">IFERROR(C38/D38,"")</f>
        <v>0.69060773480663</v>
      </c>
    </row>
    <row r="39" customFormat="false" ht="15" hidden="false" customHeight="true" outlineLevel="0" collapsed="false">
      <c r="B39" s="30" t="s">
        <v>93</v>
      </c>
      <c r="C39" s="49" t="n">
        <v>0</v>
      </c>
      <c r="D39" s="49" t="n">
        <v>0</v>
      </c>
      <c r="E39" s="20" t="str">
        <f aca="false">IFERROR(C39/D39,"")</f>
        <v/>
      </c>
    </row>
    <row r="40" customFormat="false" ht="15" hidden="false" customHeight="true" outlineLevel="0" collapsed="false">
      <c r="B40" s="30" t="s">
        <v>94</v>
      </c>
      <c r="C40" s="49" t="n">
        <v>0</v>
      </c>
      <c r="D40" s="49" t="n">
        <v>0</v>
      </c>
      <c r="E40" s="20" t="str">
        <f aca="false">IFERROR(C40/D40,"")</f>
        <v/>
      </c>
    </row>
    <row r="41" customFormat="false" ht="15" hidden="false" customHeight="true" outlineLevel="0" collapsed="false">
      <c r="B41" s="30" t="s">
        <v>95</v>
      </c>
      <c r="C41" s="49" t="n">
        <v>0</v>
      </c>
      <c r="D41" s="49" t="n">
        <v>0</v>
      </c>
      <c r="E41" s="20" t="str">
        <f aca="false">IFERROR(C41/D41,"")</f>
        <v/>
      </c>
    </row>
    <row r="42" customFormat="false" ht="15" hidden="false" customHeight="true" outlineLevel="0" collapsed="false">
      <c r="B42" s="30" t="s">
        <v>96</v>
      </c>
      <c r="C42" s="49" t="n">
        <v>0</v>
      </c>
      <c r="D42" s="49" t="n">
        <v>0</v>
      </c>
      <c r="E42" s="20" t="str">
        <f aca="false">IFERROR(C42/D42,"")</f>
        <v/>
      </c>
    </row>
    <row r="43" customFormat="false" ht="15" hidden="false" customHeight="true" outlineLevel="0" collapsed="false">
      <c r="B43" s="30" t="s">
        <v>98</v>
      </c>
      <c r="C43" s="49" t="n">
        <v>0</v>
      </c>
      <c r="D43" s="49" t="n">
        <v>0</v>
      </c>
      <c r="E43" s="20" t="str">
        <f aca="false">IFERROR(C43/D43,"")</f>
        <v/>
      </c>
    </row>
    <row r="44" customFormat="false" ht="15" hidden="false" customHeight="true" outlineLevel="0" collapsed="false">
      <c r="B44" s="30" t="s">
        <v>99</v>
      </c>
      <c r="C44" s="49" t="n">
        <v>0</v>
      </c>
      <c r="D44" s="49" t="n">
        <v>0</v>
      </c>
      <c r="E44" s="20" t="str">
        <f aca="false">IFERROR(C44/D44,"")</f>
        <v/>
      </c>
    </row>
    <row r="45" customFormat="false" ht="15" hidden="false" customHeight="true" outlineLevel="0" collapsed="false">
      <c r="B45" s="30" t="s">
        <v>100</v>
      </c>
      <c r="C45" s="49" t="n">
        <v>0</v>
      </c>
      <c r="D45" s="49" t="n">
        <v>0</v>
      </c>
      <c r="E45" s="20" t="str">
        <f aca="false">IFERROR(C45/D45,"")</f>
        <v/>
      </c>
    </row>
    <row r="46" customFormat="false" ht="15" hidden="false" customHeight="true" outlineLevel="0" collapsed="false">
      <c r="B46" s="30" t="s">
        <v>101</v>
      </c>
      <c r="C46" s="49" t="n">
        <v>0</v>
      </c>
      <c r="D46" s="49" t="n">
        <v>0</v>
      </c>
      <c r="E46" s="20" t="str">
        <f aca="false">IFERROR(C46/D46,"")</f>
        <v/>
      </c>
    </row>
    <row r="47" customFormat="false" ht="15" hidden="false" customHeight="true" outlineLevel="0" collapsed="false">
      <c r="B47" s="30" t="s">
        <v>103</v>
      </c>
      <c r="C47" s="49" t="n">
        <v>0</v>
      </c>
      <c r="D47" s="49" t="n">
        <v>0</v>
      </c>
      <c r="E47" s="20" t="str">
        <f aca="false">IFERROR(C47/D47,"")</f>
        <v/>
      </c>
    </row>
    <row r="48" customFormat="false" ht="15" hidden="false" customHeight="true" outlineLevel="0" collapsed="false">
      <c r="B48" s="55" t="s">
        <v>104</v>
      </c>
      <c r="C48" s="56" t="n">
        <v>0</v>
      </c>
      <c r="D48" s="56" t="n">
        <v>0</v>
      </c>
      <c r="E48" s="57" t="str">
        <f aca="false">IFERROR(C48/D48,"")</f>
        <v/>
      </c>
    </row>
    <row r="49" customFormat="false" ht="15" hidden="false" customHeight="true" outlineLevel="0" collapsed="false">
      <c r="B49" s="55" t="s">
        <v>105</v>
      </c>
      <c r="C49" s="56" t="n">
        <v>0</v>
      </c>
      <c r="D49" s="56" t="n">
        <v>0</v>
      </c>
      <c r="E49" s="57" t="str">
        <f aca="false">IFERROR(C49/D49,"")</f>
        <v/>
      </c>
    </row>
    <row r="50" customFormat="false" ht="15" hidden="false" customHeight="true" outlineLevel="0" collapsed="false">
      <c r="B50" s="55" t="s">
        <v>106</v>
      </c>
      <c r="C50" s="56" t="n">
        <v>0</v>
      </c>
      <c r="D50" s="56" t="n">
        <v>0</v>
      </c>
      <c r="E50" s="57" t="str">
        <f aca="false">IFERROR(C50/D50,"")</f>
        <v/>
      </c>
    </row>
    <row r="52" customFormat="false" ht="15" hidden="false" customHeight="true" outlineLevel="0" collapsed="false">
      <c r="B52" s="29" t="s">
        <v>130</v>
      </c>
      <c r="C52" s="29"/>
      <c r="D52" s="29"/>
      <c r="E52" s="29"/>
      <c r="F52" s="29"/>
    </row>
  </sheetData>
  <mergeCells count="8">
    <mergeCell ref="B2:F2"/>
    <mergeCell ref="B3:F3"/>
    <mergeCell ref="B6:F13"/>
    <mergeCell ref="B15:F16"/>
    <mergeCell ref="B19:F24"/>
    <mergeCell ref="B26:F27"/>
    <mergeCell ref="B34:F34"/>
    <mergeCell ref="B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6" min="5" style="1" width="13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3" min="10" style="1" width="16"/>
  </cols>
  <sheetData>
    <row r="2" customFormat="false" ht="15.75" hidden="false" customHeight="true" outlineLevel="0" collapsed="false">
      <c r="B2" s="58" t="s">
        <v>131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customFormat="false" ht="15" hidden="false" customHeight="true" outlineLevel="0" collapsed="false">
      <c r="B3" s="5" t="s">
        <v>132</v>
      </c>
      <c r="D3" s="59" t="n">
        <f aca="false">Assumptions!$D$25</f>
        <v>0</v>
      </c>
    </row>
    <row r="5" customFormat="false" ht="26.25" hidden="false" customHeight="true" outlineLevel="0" collapsed="false">
      <c r="B5" s="11" t="s">
        <v>133</v>
      </c>
      <c r="C5" s="11" t="s">
        <v>134</v>
      </c>
      <c r="D5" s="11" t="s">
        <v>135</v>
      </c>
      <c r="E5" s="11" t="s">
        <v>128</v>
      </c>
      <c r="F5" s="11" t="s">
        <v>136</v>
      </c>
      <c r="G5" s="11" t="s">
        <v>137</v>
      </c>
      <c r="H5" s="11" t="s">
        <v>138</v>
      </c>
      <c r="I5" s="11" t="s">
        <v>139</v>
      </c>
      <c r="J5" s="11" t="s">
        <v>140</v>
      </c>
      <c r="K5" s="11" t="s">
        <v>141</v>
      </c>
      <c r="L5" s="11" t="s">
        <v>142</v>
      </c>
      <c r="M5" s="11" t="s">
        <v>143</v>
      </c>
    </row>
    <row r="6" customFormat="false" ht="15" hidden="false" customHeight="true" outlineLevel="0" collapsed="false">
      <c r="B6" s="22" t="s">
        <v>144</v>
      </c>
      <c r="C6" s="30" t="s">
        <v>64</v>
      </c>
      <c r="D6" s="31" t="n">
        <v>3</v>
      </c>
      <c r="E6" s="20" t="n">
        <f aca="false">INDEX(Assumptions!$D$15:$D$18,MATCH($C6,Assumptions!$B$15:$B$18,0))</f>
        <v>0.69</v>
      </c>
      <c r="F6" s="21" t="n">
        <f aca="false">INDEX(Assumptions!$E$15:$E$18,MATCH($C6,Assumptions!$B$15:$B$18,0))</f>
        <v>0.192</v>
      </c>
      <c r="G6" s="33" t="n">
        <v>0.5</v>
      </c>
      <c r="H6" s="31" t="n">
        <v>24</v>
      </c>
      <c r="I6" s="31" t="n">
        <v>30</v>
      </c>
      <c r="J6" s="19" t="n">
        <f aca="false">$D6*$E6*$G6*$H6*$I6</f>
        <v>745.2</v>
      </c>
      <c r="K6" s="60" t="n">
        <f aca="false">$J6*$D$3</f>
        <v>0</v>
      </c>
      <c r="L6" s="60" t="n">
        <f aca="false">$D6*$F6*$G6*$H6*$I6</f>
        <v>207.36</v>
      </c>
      <c r="M6" s="61" t="n">
        <f aca="false">$K6+$L6</f>
        <v>207.36</v>
      </c>
    </row>
    <row r="7" customFormat="false" ht="15" hidden="false" customHeight="true" outlineLevel="0" collapsed="false">
      <c r="B7" s="22" t="s">
        <v>145</v>
      </c>
      <c r="C7" s="30" t="s">
        <v>65</v>
      </c>
      <c r="D7" s="31" t="n">
        <v>4</v>
      </c>
      <c r="E7" s="20" t="n">
        <f aca="false">INDEX(Assumptions!$D$15:$D$18,MATCH($C7,Assumptions!$B$15:$B$18,0))</f>
        <v>1.38</v>
      </c>
      <c r="F7" s="21" t="n">
        <f aca="false">INDEX(Assumptions!$E$15:$E$18,MATCH($C7,Assumptions!$B$15:$B$18,0))</f>
        <v>0.384</v>
      </c>
      <c r="G7" s="33" t="n">
        <v>1</v>
      </c>
      <c r="H7" s="31" t="n">
        <v>4</v>
      </c>
      <c r="I7" s="31" t="n">
        <v>30</v>
      </c>
      <c r="J7" s="19" t="n">
        <f aca="false">$D7*$E7*$G7*$H7*$I7</f>
        <v>662.4</v>
      </c>
      <c r="K7" s="60" t="n">
        <f aca="false">$J7*$D$3</f>
        <v>0</v>
      </c>
      <c r="L7" s="60" t="n">
        <f aca="false">$D7*$F7*$G7*$H7*$I7</f>
        <v>184.32</v>
      </c>
      <c r="M7" s="61" t="n">
        <f aca="false">$K7+$L7</f>
        <v>184.32</v>
      </c>
    </row>
    <row r="8" customFormat="false" ht="15" hidden="false" customHeight="true" outlineLevel="0" collapsed="false">
      <c r="B8" s="22" t="s">
        <v>146</v>
      </c>
      <c r="C8" s="30" t="s">
        <v>65</v>
      </c>
      <c r="D8" s="31" t="n">
        <v>3</v>
      </c>
      <c r="E8" s="20" t="n">
        <f aca="false">INDEX(Assumptions!$D$15:$D$18,MATCH($C8,Assumptions!$B$15:$B$18,0))</f>
        <v>1.38</v>
      </c>
      <c r="F8" s="21" t="n">
        <f aca="false">INDEX(Assumptions!$E$15:$E$18,MATCH($C8,Assumptions!$B$15:$B$18,0))</f>
        <v>0.384</v>
      </c>
      <c r="G8" s="33" t="n">
        <v>0.75</v>
      </c>
      <c r="H8" s="31" t="n">
        <v>2</v>
      </c>
      <c r="I8" s="31" t="n">
        <v>30</v>
      </c>
      <c r="J8" s="19" t="n">
        <f aca="false">$D8*$E8*$G8*$H8*$I8</f>
        <v>186.3</v>
      </c>
      <c r="K8" s="60" t="n">
        <f aca="false">$J8*$D$3</f>
        <v>0</v>
      </c>
      <c r="L8" s="60" t="n">
        <f aca="false">$D8*$F8*$G8*$H8*$I8</f>
        <v>51.84</v>
      </c>
      <c r="M8" s="61" t="n">
        <f aca="false">$K8+$L8</f>
        <v>51.84</v>
      </c>
    </row>
    <row r="9" customFormat="false" ht="15" hidden="false" customHeight="true" outlineLevel="0" collapsed="false">
      <c r="B9" s="62" t="s">
        <v>147</v>
      </c>
      <c r="C9" s="63"/>
      <c r="D9" s="63"/>
      <c r="E9" s="63"/>
      <c r="F9" s="63"/>
      <c r="G9" s="63"/>
      <c r="H9" s="63"/>
      <c r="I9" s="63"/>
      <c r="J9" s="64" t="n">
        <f aca="false">SUM(J6:J8)</f>
        <v>1593.9</v>
      </c>
      <c r="K9" s="65" t="n">
        <f aca="false">SUM(K6:K8)</f>
        <v>0</v>
      </c>
      <c r="L9" s="65" t="n">
        <f aca="false">SUM(L6:L8)</f>
        <v>443.52</v>
      </c>
      <c r="M9" s="65" t="n">
        <f aca="false">SUM(M6:M8)</f>
        <v>443.52</v>
      </c>
    </row>
    <row r="11" customFormat="false" ht="15.75" hidden="false" customHeight="true" outlineLevel="0" collapsed="false">
      <c r="B11" s="4" t="s">
        <v>148</v>
      </c>
    </row>
    <row r="12" customFormat="false" ht="15" hidden="false" customHeight="true" outlineLevel="0" collapsed="false">
      <c r="B12" s="10" t="s">
        <v>149</v>
      </c>
    </row>
    <row r="13" customFormat="false" ht="15" hidden="false" customHeight="true" outlineLevel="0" collapsed="false">
      <c r="B13" s="10" t="s">
        <v>150</v>
      </c>
    </row>
    <row r="14" customFormat="false" ht="15" hidden="false" customHeight="true" outlineLevel="0" collapsed="false">
      <c r="B14" s="10" t="s">
        <v>151</v>
      </c>
    </row>
    <row r="15" customFormat="false" ht="15" hidden="false" customHeight="true" outlineLevel="0" collapsed="false">
      <c r="B15" s="10" t="s">
        <v>152</v>
      </c>
    </row>
  </sheetData>
  <mergeCells count="1">
    <mergeCell ref="B2:M2"/>
  </mergeCells>
  <dataValidations count="1">
    <dataValidation allowBlank="false" errorStyle="stop" operator="between" showDropDown="false" showErrorMessage="false" showInputMessage="false" sqref="C6:C8" type="list">
      <formula1>"Small,Medium,Large,XLarge"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6" min="5" style="1" width="13"/>
    <col collapsed="false" customWidth="true" hidden="false" outlineLevel="0" max="7" min="7" style="1" width="15"/>
    <col collapsed="false" customWidth="true" hidden="false" outlineLevel="0" max="9" min="8" style="1" width="13"/>
    <col collapsed="false" customWidth="true" hidden="false" outlineLevel="0" max="13" min="10" style="1" width="16"/>
  </cols>
  <sheetData>
    <row r="2" customFormat="false" ht="15.75" hidden="false" customHeight="true" outlineLevel="0" collapsed="false">
      <c r="B2" s="58" t="s">
        <v>153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3" customFormat="false" ht="15" hidden="false" customHeight="true" outlineLevel="0" collapsed="false">
      <c r="B3" s="5" t="s">
        <v>132</v>
      </c>
      <c r="D3" s="59" t="n">
        <f aca="false">IF($G$3="Continuous (Jobs Compute)",Assumptions!$D$30,Assumptions!$D$29)</f>
        <v>0.35</v>
      </c>
      <c r="F3" s="5" t="s">
        <v>154</v>
      </c>
      <c r="G3" s="66" t="s">
        <v>82</v>
      </c>
      <c r="H3" s="10" t="s">
        <v>155</v>
      </c>
    </row>
    <row r="5" customFormat="false" ht="39" hidden="false" customHeight="true" outlineLevel="0" collapsed="false">
      <c r="B5" s="11" t="s">
        <v>133</v>
      </c>
      <c r="C5" s="11" t="s">
        <v>134</v>
      </c>
      <c r="D5" s="11" t="s">
        <v>156</v>
      </c>
      <c r="E5" s="11" t="s">
        <v>128</v>
      </c>
      <c r="F5" s="11" t="s">
        <v>136</v>
      </c>
      <c r="G5" s="11" t="s">
        <v>157</v>
      </c>
      <c r="H5" s="11" t="s">
        <v>158</v>
      </c>
      <c r="I5" s="11" t="s">
        <v>139</v>
      </c>
      <c r="J5" s="11" t="s">
        <v>140</v>
      </c>
      <c r="K5" s="11" t="s">
        <v>141</v>
      </c>
      <c r="L5" s="11" t="s">
        <v>142</v>
      </c>
      <c r="M5" s="11" t="s">
        <v>143</v>
      </c>
    </row>
    <row r="6" customFormat="false" ht="15" hidden="false" customHeight="true" outlineLevel="0" collapsed="false">
      <c r="B6" s="22" t="s">
        <v>144</v>
      </c>
      <c r="C6" s="30" t="s">
        <v>64</v>
      </c>
      <c r="D6" s="31" t="n">
        <v>2</v>
      </c>
      <c r="E6" s="20" t="n">
        <f aca="false">INDEX(Assumptions!$D$15:$D$18,MATCH($C6,Assumptions!$B$15:$B$18,0))</f>
        <v>0.69</v>
      </c>
      <c r="F6" s="21" t="n">
        <f aca="false">INDEX(Assumptions!$E$15:$E$18,MATCH($C6,Assumptions!$B$15:$B$18,0))</f>
        <v>0.192</v>
      </c>
      <c r="G6" s="67" t="n">
        <v>1</v>
      </c>
      <c r="H6" s="31" t="n">
        <v>24</v>
      </c>
      <c r="I6" s="31" t="n">
        <v>30</v>
      </c>
      <c r="J6" s="19" t="n">
        <f aca="false">$D6*$E6*$G6*$H6*$I6</f>
        <v>993.6</v>
      </c>
      <c r="K6" s="60" t="n">
        <f aca="false">$J6*$D$3</f>
        <v>347.76</v>
      </c>
      <c r="L6" s="60" t="n">
        <f aca="false">$D6*$F6*$G6*$H6*$I6</f>
        <v>276.48</v>
      </c>
      <c r="M6" s="61" t="n">
        <f aca="false">$K6+$L6</f>
        <v>624.24</v>
      </c>
    </row>
    <row r="7" customFormat="false" ht="15" hidden="false" customHeight="true" outlineLevel="0" collapsed="false">
      <c r="B7" s="22" t="s">
        <v>145</v>
      </c>
      <c r="C7" s="30" t="s">
        <v>65</v>
      </c>
      <c r="D7" s="31" t="n">
        <v>3</v>
      </c>
      <c r="E7" s="20" t="n">
        <f aca="false">INDEX(Assumptions!$D$15:$D$18,MATCH($C7,Assumptions!$B$15:$B$18,0))</f>
        <v>1.38</v>
      </c>
      <c r="F7" s="21" t="n">
        <f aca="false">INDEX(Assumptions!$E$15:$E$18,MATCH($C7,Assumptions!$B$15:$B$18,0))</f>
        <v>0.384</v>
      </c>
      <c r="G7" s="67" t="n">
        <v>0.9</v>
      </c>
      <c r="H7" s="31" t="n">
        <v>24</v>
      </c>
      <c r="I7" s="31" t="n">
        <v>30</v>
      </c>
      <c r="J7" s="19" t="n">
        <f aca="false">$D7*$E7*$G7*$H7*$I7</f>
        <v>2682.72</v>
      </c>
      <c r="K7" s="60" t="n">
        <f aca="false">$J7*$D$3</f>
        <v>938.952</v>
      </c>
      <c r="L7" s="60" t="n">
        <f aca="false">$D7*$F7*$G7*$H7*$I7</f>
        <v>746.496</v>
      </c>
      <c r="M7" s="61" t="n">
        <f aca="false">$K7+$L7</f>
        <v>1685.448</v>
      </c>
    </row>
    <row r="8" customFormat="false" ht="15" hidden="false" customHeight="true" outlineLevel="0" collapsed="false">
      <c r="B8" s="22" t="s">
        <v>146</v>
      </c>
      <c r="C8" s="30" t="s">
        <v>65</v>
      </c>
      <c r="D8" s="31" t="n">
        <v>2</v>
      </c>
      <c r="E8" s="20" t="n">
        <f aca="false">INDEX(Assumptions!$D$15:$D$18,MATCH($C8,Assumptions!$B$15:$B$18,0))</f>
        <v>1.38</v>
      </c>
      <c r="F8" s="21" t="n">
        <f aca="false">INDEX(Assumptions!$E$15:$E$18,MATCH($C8,Assumptions!$B$15:$B$18,0))</f>
        <v>0.384</v>
      </c>
      <c r="G8" s="67" t="n">
        <v>0.7</v>
      </c>
      <c r="H8" s="31" t="n">
        <v>24</v>
      </c>
      <c r="I8" s="31" t="n">
        <v>30</v>
      </c>
      <c r="J8" s="19" t="n">
        <f aca="false">$D8*$E8*$G8*$H8*$I8</f>
        <v>1391.04</v>
      </c>
      <c r="K8" s="60" t="n">
        <f aca="false">$J8*$D$3</f>
        <v>486.864</v>
      </c>
      <c r="L8" s="60" t="n">
        <f aca="false">$D8*$F8*$G8*$H8*$I8</f>
        <v>387.072</v>
      </c>
      <c r="M8" s="61" t="n">
        <f aca="false">$K8+$L8</f>
        <v>873.936</v>
      </c>
    </row>
    <row r="9" customFormat="false" ht="15" hidden="false" customHeight="true" outlineLevel="0" collapsed="false">
      <c r="B9" s="62" t="s">
        <v>147</v>
      </c>
      <c r="C9" s="63"/>
      <c r="D9" s="63"/>
      <c r="E9" s="63"/>
      <c r="F9" s="63"/>
      <c r="G9" s="63"/>
      <c r="H9" s="63"/>
      <c r="I9" s="63"/>
      <c r="J9" s="64" t="n">
        <f aca="false">SUM(J6:J8)</f>
        <v>5067.36</v>
      </c>
      <c r="K9" s="65" t="n">
        <f aca="false">SUM(K6:K8)</f>
        <v>1773.576</v>
      </c>
      <c r="L9" s="65" t="n">
        <f aca="false">SUM(L6:L8)</f>
        <v>1410.048</v>
      </c>
      <c r="M9" s="65" t="n">
        <f aca="false">SUM(M6:M8)</f>
        <v>3183.624</v>
      </c>
    </row>
    <row r="11" customFormat="false" ht="15.75" hidden="false" customHeight="true" outlineLevel="0" collapsed="false">
      <c r="B11" s="4" t="s">
        <v>148</v>
      </c>
    </row>
    <row r="12" customFormat="false" ht="15" hidden="false" customHeight="true" outlineLevel="0" collapsed="false">
      <c r="B12" s="10" t="s">
        <v>159</v>
      </c>
    </row>
    <row r="13" customFormat="false" ht="15" hidden="false" customHeight="true" outlineLevel="0" collapsed="false">
      <c r="B13" s="10" t="s">
        <v>160</v>
      </c>
    </row>
    <row r="14" customFormat="false" ht="15" hidden="false" customHeight="true" outlineLevel="0" collapsed="false">
      <c r="B14" s="10" t="s">
        <v>161</v>
      </c>
    </row>
    <row r="15" customFormat="false" ht="15" hidden="false" customHeight="true" outlineLevel="0" collapsed="false">
      <c r="B15" s="10" t="s">
        <v>162</v>
      </c>
    </row>
    <row r="16" customFormat="false" ht="15" hidden="false" customHeight="true" outlineLevel="0" collapsed="false">
      <c r="B16" s="10" t="s">
        <v>163</v>
      </c>
    </row>
  </sheetData>
  <mergeCells count="1">
    <mergeCell ref="B2:M2"/>
  </mergeCells>
  <dataValidations count="2">
    <dataValidation allowBlank="false" errorStyle="stop" operator="between" showDropDown="false" showErrorMessage="false" showInputMessage="false" sqref="C6:C8" type="list">
      <formula1>"Small,Medium,Large,XLarge"</formula1>
      <formula2>0</formula2>
    </dataValidation>
    <dataValidation allowBlank="false" errorStyle="stop" operator="between" showDropDown="false" showErrorMessage="false" showInputMessage="false" sqref="G3" type="list">
      <formula1>"SDP Serverless (Standard),Continuous (Jobs Compute)"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2"/>
    <col collapsed="false" customWidth="true" hidden="false" outlineLevel="0" max="10" min="3" style="1" width="16"/>
    <col collapsed="false" customWidth="true" hidden="false" outlineLevel="0" max="11" min="11" style="1" width="40"/>
  </cols>
  <sheetData>
    <row r="2" customFormat="false" ht="18" hidden="false" customHeight="true" outlineLevel="0" collapsed="false">
      <c r="B2" s="45" t="s">
        <v>164</v>
      </c>
      <c r="C2" s="45"/>
      <c r="D2" s="45"/>
      <c r="E2" s="45"/>
      <c r="F2" s="45"/>
      <c r="G2" s="45"/>
      <c r="H2" s="45"/>
      <c r="I2" s="45"/>
      <c r="J2" s="45"/>
      <c r="K2" s="45"/>
    </row>
    <row r="3" customFormat="false" ht="15" hidden="false" customHeight="true" outlineLevel="0" collapsed="false">
      <c r="B3" s="46" t="s">
        <v>165</v>
      </c>
      <c r="C3" s="46"/>
      <c r="D3" s="46"/>
      <c r="E3" s="46"/>
      <c r="F3" s="46"/>
      <c r="G3" s="46"/>
      <c r="H3" s="46"/>
      <c r="I3" s="46"/>
      <c r="J3" s="46"/>
      <c r="K3" s="46"/>
    </row>
    <row r="5" customFormat="false" ht="15.75" hidden="false" customHeight="true" outlineLevel="0" collapsed="false">
      <c r="B5" s="4" t="s">
        <v>166</v>
      </c>
    </row>
    <row r="6" customFormat="false" ht="15" hidden="false" customHeight="true" outlineLevel="0" collapsed="false">
      <c r="B6" s="11" t="s">
        <v>167</v>
      </c>
      <c r="C6" s="11" t="s">
        <v>168</v>
      </c>
      <c r="D6" s="11" t="s">
        <v>169</v>
      </c>
    </row>
    <row r="7" customFormat="false" ht="15" hidden="false" customHeight="true" outlineLevel="0" collapsed="false">
      <c r="B7" s="12" t="s">
        <v>170</v>
      </c>
      <c r="C7" s="49" t="n">
        <v>500</v>
      </c>
      <c r="D7" s="68" t="s">
        <v>171</v>
      </c>
      <c r="E7" s="68"/>
      <c r="F7" s="68"/>
      <c r="G7" s="68"/>
      <c r="H7" s="68"/>
      <c r="I7" s="68"/>
      <c r="J7" s="68"/>
      <c r="K7" s="68"/>
    </row>
    <row r="8" customFormat="false" ht="15" hidden="false" customHeight="true" outlineLevel="0" collapsed="false">
      <c r="B8" s="12" t="s">
        <v>172</v>
      </c>
      <c r="C8" s="49" t="n">
        <v>400</v>
      </c>
      <c r="D8" s="68" t="s">
        <v>173</v>
      </c>
      <c r="E8" s="68"/>
      <c r="F8" s="68"/>
      <c r="G8" s="68"/>
      <c r="H8" s="68"/>
      <c r="I8" s="68"/>
      <c r="J8" s="68"/>
      <c r="K8" s="68"/>
    </row>
    <row r="9" customFormat="false" ht="15" hidden="false" customHeight="true" outlineLevel="0" collapsed="false">
      <c r="B9" s="12" t="s">
        <v>174</v>
      </c>
      <c r="C9" s="49" t="n">
        <v>250</v>
      </c>
      <c r="D9" s="68" t="s">
        <v>175</v>
      </c>
      <c r="E9" s="68"/>
      <c r="F9" s="68"/>
      <c r="G9" s="68"/>
      <c r="H9" s="68"/>
      <c r="I9" s="68"/>
      <c r="J9" s="68"/>
      <c r="K9" s="68"/>
    </row>
    <row r="10" customFormat="false" ht="15" hidden="false" customHeight="true" outlineLevel="0" collapsed="false">
      <c r="B10" s="12" t="s">
        <v>176</v>
      </c>
      <c r="C10" s="49" t="n">
        <v>5000</v>
      </c>
      <c r="D10" s="68" t="s">
        <v>177</v>
      </c>
      <c r="E10" s="68"/>
      <c r="F10" s="68"/>
      <c r="G10" s="68"/>
      <c r="H10" s="68"/>
      <c r="I10" s="68"/>
      <c r="J10" s="68"/>
      <c r="K10" s="68"/>
    </row>
    <row r="11" customFormat="false" ht="15" hidden="false" customHeight="true" outlineLevel="0" collapsed="false">
      <c r="B11" s="12" t="s">
        <v>178</v>
      </c>
      <c r="C11" s="49" t="n">
        <v>30</v>
      </c>
      <c r="D11" s="68" t="s">
        <v>179</v>
      </c>
      <c r="E11" s="68"/>
      <c r="F11" s="68"/>
      <c r="G11" s="68"/>
      <c r="H11" s="68"/>
      <c r="I11" s="68"/>
      <c r="J11" s="68"/>
      <c r="K11" s="68"/>
    </row>
    <row r="12" customFormat="false" ht="15" hidden="false" customHeight="true" outlineLevel="0" collapsed="false">
      <c r="B12" s="12" t="s">
        <v>180</v>
      </c>
      <c r="C12" s="49" t="n">
        <v>60</v>
      </c>
      <c r="D12" s="68" t="s">
        <v>181</v>
      </c>
      <c r="E12" s="68"/>
      <c r="F12" s="68"/>
      <c r="G12" s="68"/>
      <c r="H12" s="68"/>
      <c r="I12" s="68"/>
      <c r="J12" s="68"/>
      <c r="K12" s="68"/>
    </row>
    <row r="13" customFormat="false" ht="15" hidden="false" customHeight="true" outlineLevel="0" collapsed="false">
      <c r="B13" s="12" t="s">
        <v>182</v>
      </c>
      <c r="C13" s="49" t="n">
        <v>20</v>
      </c>
      <c r="D13" s="68" t="s">
        <v>183</v>
      </c>
      <c r="E13" s="68"/>
      <c r="F13" s="68"/>
      <c r="G13" s="68"/>
      <c r="H13" s="68"/>
      <c r="I13" s="68"/>
      <c r="J13" s="68"/>
      <c r="K13" s="68"/>
    </row>
    <row r="14" customFormat="false" ht="15" hidden="false" customHeight="true" outlineLevel="0" collapsed="false">
      <c r="B14" s="12" t="s">
        <v>184</v>
      </c>
      <c r="C14" s="69" t="n">
        <f aca="false">($C$7*1024)/$C$10</f>
        <v>102.4</v>
      </c>
      <c r="D14" s="68" t="s">
        <v>185</v>
      </c>
      <c r="E14" s="68"/>
      <c r="F14" s="68"/>
      <c r="G14" s="68"/>
      <c r="H14" s="68"/>
      <c r="I14" s="68"/>
      <c r="J14" s="68"/>
      <c r="K14" s="68"/>
    </row>
    <row r="16" customFormat="false" ht="15.75" hidden="false" customHeight="true" outlineLevel="0" collapsed="false">
      <c r="B16" s="4" t="s">
        <v>186</v>
      </c>
    </row>
    <row r="17" customFormat="false" ht="15" hidden="false" customHeight="true" outlineLevel="0" collapsed="false">
      <c r="B17" s="11" t="s">
        <v>187</v>
      </c>
      <c r="C17" s="11" t="s">
        <v>168</v>
      </c>
      <c r="D17" s="11" t="s">
        <v>43</v>
      </c>
    </row>
    <row r="18" customFormat="false" ht="15" hidden="false" customHeight="true" outlineLevel="0" collapsed="false">
      <c r="B18" s="12" t="s">
        <v>188</v>
      </c>
      <c r="C18" s="49" t="n">
        <v>128</v>
      </c>
      <c r="D18" s="68" t="s">
        <v>189</v>
      </c>
      <c r="E18" s="68"/>
      <c r="F18" s="68"/>
      <c r="G18" s="68"/>
      <c r="H18" s="68"/>
      <c r="I18" s="68"/>
      <c r="J18" s="68"/>
      <c r="K18" s="68"/>
    </row>
    <row r="19" customFormat="false" ht="15" hidden="false" customHeight="true" outlineLevel="0" collapsed="false">
      <c r="B19" s="12" t="s">
        <v>190</v>
      </c>
      <c r="C19" s="19" t="n">
        <f aca="false">CEILING($C$7*1024/$C$18,1)</f>
        <v>4000</v>
      </c>
      <c r="D19" s="70"/>
      <c r="E19" s="70"/>
      <c r="F19" s="70"/>
      <c r="G19" s="70"/>
      <c r="H19" s="70"/>
      <c r="I19" s="70"/>
      <c r="J19" s="70"/>
      <c r="K19" s="70"/>
    </row>
    <row r="20" customFormat="false" ht="15" hidden="false" customHeight="true" outlineLevel="0" collapsed="false">
      <c r="B20" s="12" t="s">
        <v>191</v>
      </c>
      <c r="C20" s="20" t="n">
        <f aca="false">$C$10/$C$19</f>
        <v>1.25</v>
      </c>
      <c r="D20" s="70"/>
      <c r="E20" s="70"/>
      <c r="F20" s="70"/>
      <c r="G20" s="70"/>
      <c r="H20" s="70"/>
      <c r="I20" s="70"/>
      <c r="J20" s="70"/>
      <c r="K20" s="70"/>
    </row>
    <row r="21" customFormat="false" ht="30" hidden="false" customHeight="true" outlineLevel="0" collapsed="false">
      <c r="B21" s="22" t="s">
        <v>192</v>
      </c>
      <c r="C21" s="71" t="str">
        <f aca="false">IF(OR($C$14&lt;16,$C$20&gt;3),"SMALL FILES","OK")</f>
        <v>OK</v>
      </c>
      <c r="D21" s="68" t="str">
        <f aca="false">IF(OR($C$14&lt;16,$C$20&gt;3),"Avg file size is small and/or file count far exceeds the ideal partition count — run OPTIMIZE / auto-compaction on Bronze before scaling workers up; extra workers mostly buy you file-open overhead, not throughput.","File sizes and count are in a reasonable range for direct processing.")</f>
        <v>File sizes and count are in a reasonable range for direct processing.</v>
      </c>
      <c r="E21" s="68"/>
      <c r="F21" s="68"/>
      <c r="G21" s="68"/>
      <c r="H21" s="68"/>
      <c r="I21" s="68"/>
      <c r="J21" s="68"/>
      <c r="K21" s="68"/>
    </row>
    <row r="23" customFormat="false" ht="15.75" hidden="false" customHeight="true" outlineLevel="0" collapsed="false">
      <c r="B23" s="4" t="s">
        <v>193</v>
      </c>
    </row>
    <row r="24" customFormat="false" ht="77.25" hidden="false" customHeight="true" outlineLevel="0" collapsed="false">
      <c r="B24" s="11" t="s">
        <v>88</v>
      </c>
      <c r="C24" s="11" t="s">
        <v>59</v>
      </c>
      <c r="D24" s="11" t="s">
        <v>194</v>
      </c>
      <c r="E24" s="11" t="s">
        <v>195</v>
      </c>
    </row>
    <row r="25" customFormat="false" ht="15" hidden="false" customHeight="true" outlineLevel="0" collapsed="false">
      <c r="B25" s="12" t="s">
        <v>64</v>
      </c>
      <c r="C25" s="12" t="str">
        <f aca="false">Assumptions!$C$15</f>
        <v>m5.xlarge</v>
      </c>
      <c r="D25" s="19" t="n">
        <f aca="false">Assumptions!$F$15</f>
        <v>4</v>
      </c>
      <c r="E25" s="49" t="n">
        <v>15</v>
      </c>
    </row>
    <row r="26" customFormat="false" ht="15" hidden="false" customHeight="true" outlineLevel="0" collapsed="false">
      <c r="B26" s="12" t="s">
        <v>65</v>
      </c>
      <c r="C26" s="12" t="str">
        <f aca="false">Assumptions!$C$16</f>
        <v>m5.2xlarge</v>
      </c>
      <c r="D26" s="19" t="n">
        <f aca="false">Assumptions!$F$16</f>
        <v>8</v>
      </c>
      <c r="E26" s="49" t="n">
        <v>40</v>
      </c>
    </row>
    <row r="27" customFormat="false" ht="15" hidden="false" customHeight="true" outlineLevel="0" collapsed="false">
      <c r="B27" s="12" t="s">
        <v>66</v>
      </c>
      <c r="C27" s="12" t="str">
        <f aca="false">Assumptions!$C$17</f>
        <v>r5.4xlarge</v>
      </c>
      <c r="D27" s="19" t="n">
        <f aca="false">Assumptions!$F$17</f>
        <v>16</v>
      </c>
      <c r="E27" s="49" t="n">
        <v>100</v>
      </c>
    </row>
    <row r="28" customFormat="false" ht="15" hidden="false" customHeight="true" outlineLevel="0" collapsed="false">
      <c r="B28" s="12" t="s">
        <v>67</v>
      </c>
      <c r="C28" s="12" t="str">
        <f aca="false">Assumptions!$C$18</f>
        <v>r5.8xlarge</v>
      </c>
      <c r="D28" s="19" t="n">
        <f aca="false">Assumptions!$F$18</f>
        <v>32</v>
      </c>
      <c r="E28" s="49" t="n">
        <v>200</v>
      </c>
    </row>
    <row r="29" customFormat="false" ht="27.75" hidden="false" customHeight="true" outlineLevel="0" collapsed="false">
      <c r="B29" s="29" t="s">
        <v>196</v>
      </c>
      <c r="C29" s="29"/>
      <c r="D29" s="29"/>
      <c r="E29" s="29"/>
      <c r="F29" s="29"/>
      <c r="G29" s="29"/>
      <c r="H29" s="29"/>
      <c r="I29" s="29"/>
      <c r="J29" s="29"/>
      <c r="K29" s="29"/>
    </row>
    <row r="30" customFormat="false" ht="15.75" hidden="false" customHeight="true" outlineLevel="0" collapsed="false">
      <c r="B30" s="4"/>
    </row>
    <row r="31" customFormat="false" ht="26.25" hidden="false" customHeight="true" outlineLevel="0" collapsed="false">
      <c r="B31" s="72" t="s">
        <v>197</v>
      </c>
      <c r="C31" s="11"/>
    </row>
    <row r="32" customFormat="false" ht="15" hidden="false" customHeight="true" outlineLevel="0" collapsed="false">
      <c r="B32" s="11" t="s">
        <v>88</v>
      </c>
      <c r="C32" s="11" t="s">
        <v>198</v>
      </c>
      <c r="D32" s="36" t="s">
        <v>199</v>
      </c>
    </row>
    <row r="33" customFormat="false" ht="15" hidden="false" customHeight="true" outlineLevel="0" collapsed="false">
      <c r="B33" s="12" t="s">
        <v>64</v>
      </c>
      <c r="C33" s="12" t="s">
        <v>200</v>
      </c>
      <c r="D33" s="49" t="n">
        <v>100</v>
      </c>
    </row>
    <row r="34" customFormat="false" ht="15" hidden="false" customHeight="true" outlineLevel="0" collapsed="false">
      <c r="B34" s="12" t="s">
        <v>65</v>
      </c>
      <c r="C34" s="12" t="s">
        <v>201</v>
      </c>
      <c r="D34" s="49" t="n">
        <v>800</v>
      </c>
    </row>
    <row r="35" customFormat="false" ht="15" hidden="false" customHeight="true" outlineLevel="0" collapsed="false">
      <c r="B35" s="12" t="s">
        <v>66</v>
      </c>
      <c r="C35" s="12" t="s">
        <v>202</v>
      </c>
      <c r="D35" s="49" t="n">
        <v>3000</v>
      </c>
    </row>
    <row r="36" customFormat="false" ht="15.75" hidden="false" customHeight="true" outlineLevel="0" collapsed="false">
      <c r="B36" s="12" t="s">
        <v>67</v>
      </c>
      <c r="C36" s="12" t="s">
        <v>203</v>
      </c>
      <c r="D36" s="44"/>
    </row>
    <row r="37" customFormat="false" ht="15" hidden="false" customHeight="true" outlineLevel="0" collapsed="false">
      <c r="B37" s="11"/>
      <c r="C37" s="11"/>
      <c r="D37" s="11"/>
    </row>
    <row r="38" customFormat="false" ht="15" hidden="false" customHeight="true" outlineLevel="0" collapsed="false">
      <c r="B38" s="26" t="s">
        <v>204</v>
      </c>
      <c r="C38" s="19"/>
      <c r="D38" s="68"/>
    </row>
    <row r="39" customFormat="false" ht="15" hidden="false" customHeight="true" outlineLevel="0" collapsed="false">
      <c r="B39" s="11" t="s">
        <v>187</v>
      </c>
      <c r="C39" s="11" t="s">
        <v>168</v>
      </c>
      <c r="D39" s="11" t="s">
        <v>43</v>
      </c>
    </row>
    <row r="40" customFormat="false" ht="15" hidden="false" customHeight="true" outlineLevel="0" collapsed="false">
      <c r="B40" s="12" t="s">
        <v>205</v>
      </c>
      <c r="C40" s="19" t="n">
        <f aca="false">MAX($C$7,$C$8)</f>
        <v>500</v>
      </c>
      <c r="D40" s="68" t="s">
        <v>206</v>
      </c>
      <c r="E40" s="68"/>
      <c r="F40" s="68"/>
      <c r="G40" s="68"/>
      <c r="H40" s="68"/>
      <c r="I40" s="68"/>
      <c r="J40" s="68"/>
      <c r="K40" s="68"/>
    </row>
    <row r="41" customFormat="false" ht="15" hidden="false" customHeight="true" outlineLevel="0" collapsed="false">
      <c r="B41" s="12" t="s">
        <v>207</v>
      </c>
      <c r="C41" s="73" t="n">
        <v>4</v>
      </c>
      <c r="D41" s="68" t="s">
        <v>208</v>
      </c>
      <c r="E41" s="68"/>
      <c r="F41" s="68"/>
      <c r="G41" s="68"/>
      <c r="H41" s="68"/>
      <c r="I41" s="68"/>
      <c r="J41" s="68"/>
      <c r="K41" s="68"/>
    </row>
    <row r="42" customFormat="false" ht="15" hidden="false" customHeight="true" outlineLevel="0" collapsed="false">
      <c r="B42" s="22" t="s">
        <v>209</v>
      </c>
      <c r="C42" s="74" t="str">
        <f aca="false">IF($C$40&lt;$D$33,"Small",IF($C$40&lt;=$D$34,"Medium",IF($C$40&lt;=$D$35,"Large","XLarge")))</f>
        <v>Medium</v>
      </c>
      <c r="D42" s="68"/>
      <c r="E42" s="68"/>
      <c r="F42" s="68"/>
      <c r="G42" s="68"/>
      <c r="H42" s="68"/>
      <c r="I42" s="68"/>
      <c r="J42" s="68"/>
      <c r="K42" s="68"/>
    </row>
    <row r="43" customFormat="false" ht="15" hidden="false" customHeight="true" outlineLevel="0" collapsed="false">
      <c r="B43" s="12" t="s">
        <v>210</v>
      </c>
      <c r="C43" s="19" t="str">
        <f aca="false">INDEX(Assumptions!$C$15:$C$18,MATCH($C$42,Assumptions!$B$15:$B$18,0))</f>
        <v>m5.2xlarge</v>
      </c>
      <c r="D43" s="68" t="str">
        <f aca="false">"vCPU: "&amp;INDEX(Assumptions!$F$15:$F$18,MATCH($C$42,Assumptions!$B$15:$B$18,0))&amp;" | RAM: "&amp;INDEX(Assumptions!$G$15:$G$18,MATCH($C$42,Assumptions!$B$15:$B$18,0))&amp;" GB per node"</f>
        <v>vCPU: 8 | RAM: 32 GB per node</v>
      </c>
      <c r="E43" s="68"/>
      <c r="F43" s="68"/>
      <c r="G43" s="68"/>
      <c r="H43" s="68"/>
      <c r="I43" s="68"/>
      <c r="J43" s="68"/>
      <c r="K43" s="68"/>
    </row>
    <row r="44" customFormat="false" ht="15" hidden="false" customHeight="true" outlineLevel="0" collapsed="false">
      <c r="B44" s="12" t="s">
        <v>211</v>
      </c>
      <c r="C44" s="19" t="n">
        <f aca="false">INDEX($E$25:$E$28,MATCH($C$42,$B$25:$B$28,0))</f>
        <v>40</v>
      </c>
      <c r="D44" s="68" t="s">
        <v>212</v>
      </c>
      <c r="E44" s="68"/>
      <c r="F44" s="68"/>
      <c r="G44" s="68"/>
      <c r="H44" s="68"/>
      <c r="I44" s="68"/>
      <c r="J44" s="68"/>
      <c r="K44" s="68"/>
    </row>
    <row r="45" customFormat="false" ht="15" hidden="false" customHeight="true" outlineLevel="0" collapsed="false">
      <c r="B45" s="22" t="s">
        <v>213</v>
      </c>
      <c r="C45" s="74" t="n">
        <f aca="false">MAX(2,CEILING($C$40/($C$44*$C$41),1))</f>
        <v>4</v>
      </c>
      <c r="D45" s="68" t="s">
        <v>214</v>
      </c>
      <c r="E45" s="68"/>
      <c r="F45" s="68"/>
      <c r="G45" s="68"/>
      <c r="H45" s="68"/>
      <c r="I45" s="68"/>
      <c r="J45" s="68"/>
      <c r="K45" s="68"/>
    </row>
    <row r="46" customFormat="false" ht="15.75" hidden="false" customHeight="true" outlineLevel="0" collapsed="false">
      <c r="B46" s="12" t="s">
        <v>215</v>
      </c>
      <c r="C46" s="69" t="n">
        <f aca="false">$C$40/($C$44*$C$45)</f>
        <v>3.125</v>
      </c>
      <c r="D46" s="68" t="s">
        <v>216</v>
      </c>
      <c r="E46" s="68"/>
      <c r="F46" s="68"/>
      <c r="G46" s="68"/>
      <c r="H46" s="68"/>
      <c r="I46" s="68"/>
      <c r="J46" s="68"/>
      <c r="K46" s="68"/>
    </row>
    <row r="47" customFormat="false" ht="15" hidden="false" customHeight="true" outlineLevel="0" collapsed="false">
      <c r="B47" s="12"/>
      <c r="C47" s="69"/>
      <c r="D47" s="68"/>
    </row>
    <row r="48" customFormat="false" ht="27.75" hidden="false" customHeight="true" outlineLevel="0" collapsed="false">
      <c r="B48" s="26" t="s">
        <v>217</v>
      </c>
      <c r="C48" s="75"/>
      <c r="D48" s="68"/>
    </row>
    <row r="49" customFormat="false" ht="15" hidden="false" customHeight="true" outlineLevel="0" collapsed="false">
      <c r="B49" s="11" t="s">
        <v>218</v>
      </c>
      <c r="C49" s="76" t="s">
        <v>219</v>
      </c>
      <c r="D49" s="11" t="s">
        <v>128</v>
      </c>
      <c r="E49" s="11" t="s">
        <v>136</v>
      </c>
      <c r="F49" s="11" t="s">
        <v>220</v>
      </c>
      <c r="G49" s="11" t="s">
        <v>221</v>
      </c>
      <c r="H49" s="11" t="s">
        <v>222</v>
      </c>
      <c r="I49" s="11" t="s">
        <v>223</v>
      </c>
    </row>
    <row r="50" customFormat="false" ht="27.75" hidden="false" customHeight="true" outlineLevel="0" collapsed="false">
      <c r="B50" s="22" t="s">
        <v>224</v>
      </c>
      <c r="C50" s="19" t="n">
        <f aca="false">$C$45+1</f>
        <v>5</v>
      </c>
      <c r="D50" s="20" t="n">
        <f aca="false">INDEX(Assumptions!$D$15:$D$18,MATCH($C$42,Assumptions!$B$15:$B$18,0))</f>
        <v>1.38</v>
      </c>
      <c r="E50" s="21" t="n">
        <f aca="false">INDEX(Assumptions!$E$15:$E$18,MATCH($C$42,Assumptions!$B$15:$B$18,0))</f>
        <v>0.384</v>
      </c>
      <c r="F50" s="69" t="n">
        <f aca="false">$C$46</f>
        <v>3.125</v>
      </c>
      <c r="G50" s="60" t="n">
        <f aca="false">$D50*$C50*$F50*Assumptions!$D$28</f>
        <v>3.234375</v>
      </c>
      <c r="H50" s="60" t="n">
        <f aca="false">$E50*$C50*$F50</f>
        <v>6</v>
      </c>
      <c r="I50" s="61" t="n">
        <f aca="false">$G50+$H50</f>
        <v>9.234375</v>
      </c>
    </row>
    <row r="51" customFormat="false" ht="26.25" hidden="false" customHeight="true" outlineLevel="0" collapsed="false"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customFormat="false" ht="15" hidden="false" customHeight="true" outlineLevel="0" collapsed="false">
      <c r="B52" s="26" t="s">
        <v>225</v>
      </c>
      <c r="C52" s="19"/>
      <c r="D52" s="20"/>
      <c r="E52" s="21"/>
      <c r="F52" s="69"/>
      <c r="G52" s="31"/>
      <c r="H52" s="24"/>
      <c r="I52" s="60"/>
      <c r="J52" s="60"/>
      <c r="K52" s="61"/>
    </row>
    <row r="53" customFormat="false" ht="15" hidden="false" customHeight="true" outlineLevel="0" collapsed="false">
      <c r="B53" s="11" t="s">
        <v>167</v>
      </c>
      <c r="C53" s="36" t="s">
        <v>168</v>
      </c>
      <c r="D53" s="37" t="s">
        <v>169</v>
      </c>
      <c r="E53" s="38"/>
      <c r="F53" s="36"/>
      <c r="G53" s="36"/>
      <c r="H53" s="77"/>
      <c r="I53" s="78"/>
      <c r="J53" s="78"/>
      <c r="K53" s="78"/>
    </row>
    <row r="54" customFormat="false" ht="15" hidden="false" customHeight="true" outlineLevel="0" collapsed="false">
      <c r="B54" s="79" t="s">
        <v>226</v>
      </c>
      <c r="C54" s="73" t="n">
        <v>5</v>
      </c>
      <c r="D54" s="80" t="s">
        <v>227</v>
      </c>
      <c r="E54" s="80"/>
      <c r="F54" s="80"/>
      <c r="G54" s="80"/>
      <c r="H54" s="80"/>
      <c r="I54" s="80"/>
      <c r="J54" s="80"/>
      <c r="K54" s="80"/>
    </row>
    <row r="55" customFormat="false" ht="15" hidden="false" customHeight="true" outlineLevel="0" collapsed="false">
      <c r="B55" s="22"/>
      <c r="C55" s="19"/>
      <c r="D55" s="20"/>
      <c r="E55" s="21"/>
      <c r="F55" s="31"/>
      <c r="G55" s="31"/>
      <c r="H55" s="67"/>
      <c r="I55" s="60"/>
      <c r="J55" s="60"/>
      <c r="K55" s="61"/>
    </row>
    <row r="56" customFormat="false" ht="15.75" hidden="false" customHeight="true" outlineLevel="0" collapsed="false">
      <c r="B56" s="81" t="s">
        <v>228</v>
      </c>
      <c r="C56" s="63"/>
      <c r="D56" s="63"/>
      <c r="E56" s="63"/>
      <c r="F56" s="63"/>
      <c r="G56" s="63"/>
      <c r="H56" s="63"/>
      <c r="I56" s="63"/>
      <c r="J56" s="82"/>
      <c r="K56" s="65"/>
    </row>
    <row r="57" customFormat="false" ht="54.75" hidden="false" customHeight="true" outlineLevel="0" collapsed="false">
      <c r="B57" s="11" t="s">
        <v>187</v>
      </c>
      <c r="C57" s="11" t="s">
        <v>168</v>
      </c>
      <c r="D57" s="11" t="s">
        <v>43</v>
      </c>
    </row>
    <row r="58" customFormat="false" ht="15.75" hidden="false" customHeight="true" outlineLevel="0" collapsed="false">
      <c r="B58" s="22" t="s">
        <v>209</v>
      </c>
      <c r="C58" s="75" t="str">
        <f aca="false">IF($C$54&lt;$D$33,"Small",IF($C$54&lt;=$D$34,"Medium",IF($C$54&lt;=$D$35,"Large","XLarge")))</f>
        <v>Small</v>
      </c>
      <c r="D58" s="70"/>
      <c r="E58" s="70"/>
      <c r="F58" s="70"/>
      <c r="G58" s="70"/>
      <c r="H58" s="70"/>
      <c r="I58" s="70"/>
      <c r="J58" s="70"/>
      <c r="K58" s="70"/>
    </row>
    <row r="59" customFormat="false" ht="54.75" hidden="false" customHeight="true" outlineLevel="0" collapsed="false">
      <c r="B59" s="83" t="s">
        <v>210</v>
      </c>
      <c r="C59" s="12" t="str">
        <f aca="false">INDEX(Assumptions!$C$15:$C$18,MATCH($C$58,Assumptions!$B$15:$B$18,0))</f>
        <v>m5.xlarge</v>
      </c>
      <c r="D59" s="68" t="str">
        <f aca="false">"vCPU: "&amp;INDEX(Assumptions!$F$15:$F$18,MATCH($C$58,Assumptions!$B$15:$B$18,0))&amp;" | RAM: "&amp;INDEX(Assumptions!$G$15:$G$18,MATCH($C$58,Assumptions!$B$15:$B$18,0))&amp;" GB per node"</f>
        <v>vCPU: 4 | RAM: 16 GB per node</v>
      </c>
      <c r="E59" s="68"/>
      <c r="F59" s="68"/>
      <c r="G59" s="68"/>
      <c r="H59" s="68"/>
      <c r="I59" s="68"/>
      <c r="J59" s="68"/>
      <c r="K59" s="68"/>
    </row>
    <row r="60" customFormat="false" ht="15" hidden="false" customHeight="true" outlineLevel="0" collapsed="false">
      <c r="B60" s="12" t="s">
        <v>211</v>
      </c>
      <c r="C60" s="19" t="n">
        <f aca="false">INDEX($E$25:$E$28,MATCH($C$58,$B$25:$B$28,0))</f>
        <v>15</v>
      </c>
      <c r="D60" s="68" t="s">
        <v>212</v>
      </c>
      <c r="E60" s="68"/>
      <c r="F60" s="68"/>
      <c r="G60" s="68"/>
      <c r="H60" s="68"/>
      <c r="I60" s="68"/>
      <c r="J60" s="68"/>
      <c r="K60" s="68"/>
    </row>
    <row r="61" customFormat="false" ht="15" hidden="false" customHeight="true" outlineLevel="0" collapsed="false">
      <c r="B61" s="22" t="s">
        <v>213</v>
      </c>
      <c r="C61" s="74" t="n">
        <f aca="false">MAX(2,CEILING($C$54/($C$60*($C$13/60)),1))</f>
        <v>2</v>
      </c>
      <c r="D61" s="68" t="s">
        <v>229</v>
      </c>
      <c r="E61" s="68"/>
      <c r="F61" s="68"/>
      <c r="G61" s="68"/>
      <c r="H61" s="68"/>
      <c r="I61" s="68"/>
      <c r="J61" s="68"/>
      <c r="K61" s="68"/>
    </row>
    <row r="62" customFormat="false" ht="15" hidden="false" customHeight="true" outlineLevel="0" collapsed="false">
      <c r="B62" s="12" t="s">
        <v>230</v>
      </c>
      <c r="C62" s="69" t="n">
        <f aca="false">($C$54/($C$60*$C$61))*60</f>
        <v>10</v>
      </c>
      <c r="D62" s="68" t="s">
        <v>231</v>
      </c>
      <c r="E62" s="68"/>
      <c r="F62" s="68"/>
      <c r="G62" s="68"/>
      <c r="H62" s="68"/>
      <c r="I62" s="68"/>
      <c r="J62" s="68"/>
      <c r="K62" s="68"/>
    </row>
    <row r="63" customFormat="false" ht="15" hidden="false" customHeight="true" outlineLevel="0" collapsed="false">
      <c r="B63" s="12" t="s">
        <v>232</v>
      </c>
      <c r="C63" s="19" t="n">
        <f aca="false">FLOOR(1440/$C$11,1)</f>
        <v>48</v>
      </c>
      <c r="D63" s="70"/>
      <c r="E63" s="70"/>
      <c r="F63" s="70"/>
      <c r="G63" s="70"/>
      <c r="H63" s="70"/>
      <c r="I63" s="70"/>
      <c r="J63" s="70"/>
      <c r="K63" s="70"/>
    </row>
    <row r="65" customFormat="false" ht="15.75" hidden="false" customHeight="true" outlineLevel="0" collapsed="false">
      <c r="B65" s="4" t="s">
        <v>233</v>
      </c>
    </row>
    <row r="66" customFormat="false" ht="15" hidden="false" customHeight="true" outlineLevel="0" collapsed="false">
      <c r="B66" s="12" t="s">
        <v>234</v>
      </c>
      <c r="C66" s="69" t="n">
        <f aca="false">$C$11+$C$62</f>
        <v>40</v>
      </c>
      <c r="D66" s="68" t="s">
        <v>235</v>
      </c>
      <c r="E66" s="68"/>
      <c r="F66" s="68"/>
      <c r="G66" s="68"/>
      <c r="H66" s="68"/>
      <c r="I66" s="68"/>
      <c r="J66" s="68"/>
      <c r="K66" s="68"/>
    </row>
    <row r="67" customFormat="false" ht="27.75" hidden="false" customHeight="true" outlineLevel="0" collapsed="false">
      <c r="B67" s="22" t="s">
        <v>236</v>
      </c>
      <c r="C67" s="75" t="str">
        <f aca="false">IF($C$66&gt;$C$12,"Continuous","Trigger / Batch")</f>
        <v>Trigger / Batch</v>
      </c>
      <c r="D67" s="68" t="str">
        <f aca="false">IF($C$66&gt;$C$12,"Batch can't hit your latency SLA — arrival gap + delta run time exceeds it. Run continuously.","Batch/trigger meets your latency SLA with margin — no need to pay for 24/7 uptime.")</f>
        <v>Batch/trigger meets your latency SLA with margin — no need to pay for 24/7 uptime.</v>
      </c>
      <c r="E67" s="68"/>
      <c r="F67" s="68"/>
      <c r="G67" s="68"/>
      <c r="H67" s="68"/>
      <c r="I67" s="68"/>
      <c r="J67" s="68"/>
      <c r="K67" s="68"/>
    </row>
    <row r="69" customFormat="false" ht="15.75" hidden="false" customHeight="true" outlineLevel="0" collapsed="false">
      <c r="B69" s="4" t="s">
        <v>237</v>
      </c>
    </row>
    <row r="70" customFormat="false" ht="26.25" hidden="false" customHeight="true" outlineLevel="0" collapsed="false">
      <c r="B70" s="11" t="s">
        <v>76</v>
      </c>
      <c r="C70" s="11" t="s">
        <v>219</v>
      </c>
      <c r="D70" s="11" t="s">
        <v>128</v>
      </c>
      <c r="E70" s="11" t="s">
        <v>136</v>
      </c>
      <c r="F70" s="11" t="s">
        <v>238</v>
      </c>
      <c r="G70" s="11" t="s">
        <v>239</v>
      </c>
      <c r="H70" s="11" t="s">
        <v>240</v>
      </c>
      <c r="I70" s="11" t="s">
        <v>241</v>
      </c>
      <c r="J70" s="11" t="s">
        <v>142</v>
      </c>
      <c r="K70" s="11" t="s">
        <v>143</v>
      </c>
    </row>
    <row r="71" customFormat="false" ht="15" hidden="false" customHeight="true" outlineLevel="0" collapsed="false">
      <c r="B71" s="22" t="s">
        <v>242</v>
      </c>
      <c r="C71" s="19" t="n">
        <f aca="false">$C$61+1</f>
        <v>3</v>
      </c>
      <c r="D71" s="20" t="n">
        <f aca="false">INDEX(Assumptions!$D$15:$D$18,MATCH($C$58,Assumptions!$B$15:$B$18,0))</f>
        <v>0.69</v>
      </c>
      <c r="E71" s="21" t="n">
        <f aca="false">INDEX(Assumptions!$E$15:$E$18,MATCH($C$58,Assumptions!$B$15:$B$18,0))</f>
        <v>0.192</v>
      </c>
      <c r="F71" s="69" t="n">
        <f aca="false">($C$62/60)*$C$63</f>
        <v>8</v>
      </c>
      <c r="G71" s="31" t="n">
        <v>30</v>
      </c>
      <c r="H71" s="24" t="s">
        <v>243</v>
      </c>
      <c r="I71" s="60" t="n">
        <f aca="false">$D$71*$C$71*$F$71*$G$71*Assumptions!$D$28</f>
        <v>74.52</v>
      </c>
      <c r="J71" s="60" t="n">
        <f aca="false">$E$71*$C$71*$F$71*$G$71</f>
        <v>138.24</v>
      </c>
      <c r="K71" s="61" t="n">
        <f aca="false">$I$71+$J$71</f>
        <v>212.76</v>
      </c>
    </row>
    <row r="72" customFormat="false" ht="15" hidden="false" customHeight="true" outlineLevel="0" collapsed="false">
      <c r="B72" s="22" t="s">
        <v>244</v>
      </c>
      <c r="C72" s="19" t="n">
        <f aca="false">$C$61+1</f>
        <v>3</v>
      </c>
      <c r="D72" s="20" t="n">
        <f aca="false">INDEX(Assumptions!$D$15:$D$18,MATCH($C$58,Assumptions!$B$15:$B$18,0))</f>
        <v>0.69</v>
      </c>
      <c r="E72" s="21" t="n">
        <f aca="false">INDEX(Assumptions!$E$15:$E$18,MATCH($C$58,Assumptions!$B$15:$B$18,0))</f>
        <v>0.192</v>
      </c>
      <c r="F72" s="31" t="n">
        <v>24</v>
      </c>
      <c r="G72" s="31" t="n">
        <v>30</v>
      </c>
      <c r="H72" s="67" t="n">
        <v>0.85</v>
      </c>
      <c r="I72" s="60" t="n">
        <f aca="false">$D$72*$C$72*$F$72*$G$72*$H$72*Assumptions!$D$29</f>
        <v>443.394</v>
      </c>
      <c r="J72" s="60" t="n">
        <f aca="false">$E$72*$C$72*$F$72*$G$72*$H$72</f>
        <v>352.512</v>
      </c>
      <c r="K72" s="61" t="n">
        <f aca="false">$I$72+$J$72</f>
        <v>795.906</v>
      </c>
    </row>
    <row r="73" customFormat="false" ht="15" hidden="false" customHeight="true" outlineLevel="0" collapsed="false">
      <c r="B73" s="84" t="s">
        <v>245</v>
      </c>
      <c r="C73" s="63"/>
      <c r="D73" s="63"/>
      <c r="E73" s="63"/>
      <c r="F73" s="63"/>
      <c r="G73" s="63"/>
      <c r="H73" s="63"/>
      <c r="I73" s="63"/>
      <c r="J73" s="82" t="n">
        <f aca="false">IF(K71=0,"n/a",K72/K71)</f>
        <v>3.74086294416244</v>
      </c>
      <c r="K73" s="65" t="n">
        <f aca="false">K72-K71</f>
        <v>583.146</v>
      </c>
    </row>
    <row r="75" customFormat="false" ht="15.75" hidden="false" customHeight="true" outlineLevel="0" collapsed="false">
      <c r="B75" s="4" t="s">
        <v>246</v>
      </c>
    </row>
    <row r="76" customFormat="false" ht="26.25" hidden="false" customHeight="true" outlineLevel="0" collapsed="false">
      <c r="B76" s="11" t="s">
        <v>218</v>
      </c>
      <c r="C76" s="11" t="s">
        <v>247</v>
      </c>
      <c r="D76" s="11" t="s">
        <v>248</v>
      </c>
      <c r="E76" s="11" t="s">
        <v>43</v>
      </c>
    </row>
    <row r="77" customFormat="false" ht="15" hidden="false" customHeight="true" outlineLevel="0" collapsed="false">
      <c r="B77" s="12" t="s">
        <v>249</v>
      </c>
      <c r="C77" s="60" t="n">
        <f aca="false">$I$50</f>
        <v>9.234375</v>
      </c>
      <c r="D77" s="60" t="n">
        <f aca="false">$I$50</f>
        <v>9.234375</v>
      </c>
      <c r="E77" s="68" t="s">
        <v>250</v>
      </c>
      <c r="F77" s="68"/>
      <c r="G77" s="68"/>
      <c r="H77" s="68"/>
      <c r="I77" s="68"/>
      <c r="J77" s="68"/>
      <c r="K77" s="68"/>
    </row>
    <row r="78" customFormat="false" ht="15" hidden="false" customHeight="true" outlineLevel="0" collapsed="false">
      <c r="B78" s="12" t="s">
        <v>251</v>
      </c>
      <c r="C78" s="60" t="n">
        <f aca="false">$K$71</f>
        <v>212.76</v>
      </c>
      <c r="D78" s="60" t="n">
        <f aca="false">$K$72</f>
        <v>795.906</v>
      </c>
      <c r="E78" s="68" t="s">
        <v>252</v>
      </c>
      <c r="F78" s="68"/>
      <c r="G78" s="68"/>
      <c r="H78" s="68"/>
      <c r="I78" s="68"/>
      <c r="J78" s="68"/>
      <c r="K78" s="68"/>
    </row>
    <row r="79" customFormat="false" ht="15" hidden="false" customHeight="true" outlineLevel="0" collapsed="false">
      <c r="B79" s="85" t="s">
        <v>253</v>
      </c>
      <c r="C79" s="86" t="n">
        <f aca="false">C77+C78</f>
        <v>221.994375</v>
      </c>
      <c r="D79" s="86" t="n">
        <f aca="false">D77+D78</f>
        <v>805.140375</v>
      </c>
    </row>
    <row r="80" customFormat="false" ht="15" hidden="false" customHeight="true" outlineLevel="0" collapsed="false">
      <c r="B80" s="85" t="s">
        <v>254</v>
      </c>
      <c r="C80" s="86" t="n">
        <f aca="false">C78</f>
        <v>212.76</v>
      </c>
      <c r="D80" s="86" t="n">
        <f aca="false">D78</f>
        <v>795.906</v>
      </c>
    </row>
    <row r="81" customFormat="false" ht="15" hidden="false" customHeight="true" outlineLevel="0" collapsed="false">
      <c r="B81" s="84" t="s">
        <v>255</v>
      </c>
      <c r="C81" s="87" t="n">
        <f aca="false">C77+C78*12</f>
        <v>2562.354375</v>
      </c>
      <c r="D81" s="87" t="n">
        <f aca="false">D77+D78*12</f>
        <v>9560.106375</v>
      </c>
    </row>
    <row r="83" customFormat="false" ht="15.75" hidden="false" customHeight="true" outlineLevel="0" collapsed="false">
      <c r="B83" s="4" t="s">
        <v>256</v>
      </c>
    </row>
    <row r="84" customFormat="false" ht="54.75" hidden="false" customHeight="true" outlineLevel="0" collapsed="false">
      <c r="B84" s="88" t="str">
        <f aca="false">"Initial load: "&amp;$C$45&amp;"x "&amp;$C$42&amp;" nodes ("&amp;$C$43&amp;"), ~"&amp;TEXT($C$46,"0.0")&amp;" hrs, one-time cost ≈ "&amp;TEXT($I$50,"$#,##0")&amp;". "&amp;"Delta: "&amp;$C$61&amp;"x "&amp;$C$58&amp;" nodes ("&amp;$C$59&amp;"), ~"&amp;TEXT($C$62,"0.0")&amp;" min/run, mode: "&amp;$C$67&amp;". "&amp;"Steady-state monthly ≈ "&amp;TEXT($K$71,"$#,##0")&amp;" (Trigger) or "&amp;TEXT($K$72,"$#,##0")&amp;" (Continuous)."</f>
        <v>Initial load: 4x Medium nodes (m5.2xlarge), ~3.1 hrs, one-time cost ≈ $9. Delta: 2x Small nodes (m5.xlarge), ~10.0 min/run, mode: Trigger / Batch. Steady-state monthly ≈ $213 (Trigger) or $796 (Continuous).</v>
      </c>
      <c r="C84" s="88"/>
      <c r="D84" s="88"/>
      <c r="E84" s="88"/>
      <c r="F84" s="88"/>
      <c r="G84" s="88"/>
      <c r="H84" s="88"/>
      <c r="I84" s="88"/>
      <c r="J84" s="88"/>
      <c r="K84" s="88"/>
    </row>
  </sheetData>
  <mergeCells count="34">
    <mergeCell ref="B2:K2"/>
    <mergeCell ref="B3:K3"/>
    <mergeCell ref="D7:K7"/>
    <mergeCell ref="D8:K8"/>
    <mergeCell ref="D9:K9"/>
    <mergeCell ref="D10:K10"/>
    <mergeCell ref="D11:K11"/>
    <mergeCell ref="D12:K12"/>
    <mergeCell ref="D13:K13"/>
    <mergeCell ref="D14:K14"/>
    <mergeCell ref="D18:K18"/>
    <mergeCell ref="D19:K19"/>
    <mergeCell ref="D20:K20"/>
    <mergeCell ref="D21:K21"/>
    <mergeCell ref="B29:K29"/>
    <mergeCell ref="D40:K40"/>
    <mergeCell ref="D41:K41"/>
    <mergeCell ref="D42:K42"/>
    <mergeCell ref="D43:K43"/>
    <mergeCell ref="D44:K44"/>
    <mergeCell ref="D45:K45"/>
    <mergeCell ref="D46:K46"/>
    <mergeCell ref="D54:K54"/>
    <mergeCell ref="D58:K58"/>
    <mergeCell ref="D59:K59"/>
    <mergeCell ref="D60:K60"/>
    <mergeCell ref="D61:K61"/>
    <mergeCell ref="D62:K62"/>
    <mergeCell ref="D63:K63"/>
    <mergeCell ref="D66:K66"/>
    <mergeCell ref="D67:K67"/>
    <mergeCell ref="E77:K77"/>
    <mergeCell ref="E78:K78"/>
    <mergeCell ref="B84:K8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26"/>
  </cols>
  <sheetData>
    <row r="2" customFormat="false" ht="18.55" hidden="false" customHeight="false" outlineLevel="0" collapsed="false">
      <c r="B2" s="89" t="s">
        <v>257</v>
      </c>
      <c r="C2" s="89"/>
      <c r="D2" s="89"/>
      <c r="E2" s="89"/>
      <c r="F2" s="89"/>
      <c r="G2" s="89"/>
      <c r="H2" s="89"/>
      <c r="I2" s="89"/>
      <c r="J2" s="89"/>
    </row>
    <row r="3" customFormat="false" ht="15" hidden="false" customHeight="false" outlineLevel="0" collapsed="false">
      <c r="B3" s="90" t="s">
        <v>258</v>
      </c>
      <c r="C3" s="90"/>
      <c r="D3" s="90"/>
      <c r="E3" s="90"/>
      <c r="F3" s="90"/>
      <c r="G3" s="90"/>
      <c r="H3" s="90"/>
      <c r="I3" s="90"/>
      <c r="J3" s="90"/>
    </row>
    <row r="5" customFormat="false" ht="16.15" hidden="false" customHeight="false" outlineLevel="0" collapsed="false">
      <c r="B5" s="91" t="s">
        <v>259</v>
      </c>
    </row>
    <row r="6" customFormat="false" ht="39.55" hidden="false" customHeight="false" outlineLevel="0" collapsed="false">
      <c r="B6" s="11" t="s">
        <v>260</v>
      </c>
      <c r="C6" s="11" t="s">
        <v>261</v>
      </c>
      <c r="D6" s="11" t="s">
        <v>76</v>
      </c>
      <c r="E6" s="11" t="s">
        <v>262</v>
      </c>
      <c r="F6" s="11" t="s">
        <v>263</v>
      </c>
      <c r="G6" s="11" t="s">
        <v>264</v>
      </c>
      <c r="H6" s="11" t="s">
        <v>265</v>
      </c>
      <c r="I6" s="11" t="s">
        <v>266</v>
      </c>
      <c r="J6" s="11" t="s">
        <v>43</v>
      </c>
    </row>
    <row r="7" customFormat="false" ht="15" hidden="false" customHeight="false" outlineLevel="0" collapsed="false">
      <c r="B7" s="92" t="s">
        <v>267</v>
      </c>
      <c r="C7" s="92" t="s">
        <v>144</v>
      </c>
      <c r="D7" s="92" t="s">
        <v>79</v>
      </c>
      <c r="E7" s="93" t="n">
        <v>30</v>
      </c>
      <c r="F7" s="93" t="n">
        <v>18500</v>
      </c>
      <c r="G7" s="94" t="n">
        <f aca="false">IFERROR(INDEX(Assumptions!$D$28:$D$30,MATCH(D7,Assumptions!$B$28:$B$30,0)),"")</f>
        <v>0.15</v>
      </c>
      <c r="H7" s="95" t="n">
        <f aca="false">IFERROR(F7*G7,"")</f>
        <v>2775</v>
      </c>
      <c r="I7" s="95" t="n">
        <f aca="false">IFERROR(H7/E7*30,"")</f>
        <v>2775</v>
      </c>
      <c r="J7" s="92" t="s">
        <v>268</v>
      </c>
    </row>
    <row r="8" customFormat="false" ht="15" hidden="false" customHeight="false" outlineLevel="0" collapsed="false">
      <c r="B8" s="96"/>
      <c r="C8" s="96" t="s">
        <v>144</v>
      </c>
      <c r="D8" s="96" t="s">
        <v>79</v>
      </c>
      <c r="E8" s="97" t="n">
        <v>30</v>
      </c>
      <c r="F8" s="97" t="n">
        <v>0</v>
      </c>
      <c r="G8" s="98" t="n">
        <f aca="false">IFERROR(INDEX(Assumptions!$D$28:$D$30,MATCH(D8,Assumptions!$B$28:$B$30,0)),"")</f>
        <v>0.15</v>
      </c>
      <c r="H8" s="99" t="n">
        <f aca="false">IFERROR(F8*G8,"")</f>
        <v>0</v>
      </c>
      <c r="I8" s="99" t="n">
        <f aca="false">IFERROR(H8/E8*30,"")</f>
        <v>0</v>
      </c>
      <c r="J8" s="100"/>
    </row>
    <row r="9" customFormat="false" ht="15" hidden="false" customHeight="false" outlineLevel="0" collapsed="false">
      <c r="B9" s="96"/>
      <c r="C9" s="96" t="s">
        <v>144</v>
      </c>
      <c r="D9" s="96" t="s">
        <v>79</v>
      </c>
      <c r="E9" s="97" t="n">
        <v>30</v>
      </c>
      <c r="F9" s="97" t="n">
        <v>0</v>
      </c>
      <c r="G9" s="98" t="n">
        <f aca="false">IFERROR(INDEX(Assumptions!$D$28:$D$30,MATCH(D9,Assumptions!$B$28:$B$30,0)),"")</f>
        <v>0.15</v>
      </c>
      <c r="H9" s="99" t="n">
        <f aca="false">IFERROR(F9*G9,"")</f>
        <v>0</v>
      </c>
      <c r="I9" s="99" t="n">
        <f aca="false">IFERROR(H9/E9*30,"")</f>
        <v>0</v>
      </c>
      <c r="J9" s="100"/>
    </row>
    <row r="10" customFormat="false" ht="15" hidden="false" customHeight="false" outlineLevel="0" collapsed="false">
      <c r="B10" s="96"/>
      <c r="C10" s="96" t="s">
        <v>144</v>
      </c>
      <c r="D10" s="96" t="s">
        <v>79</v>
      </c>
      <c r="E10" s="97" t="n">
        <v>30</v>
      </c>
      <c r="F10" s="97" t="n">
        <v>0</v>
      </c>
      <c r="G10" s="98" t="n">
        <f aca="false">IFERROR(INDEX(Assumptions!$D$28:$D$30,MATCH(D10,Assumptions!$B$28:$B$30,0)),"")</f>
        <v>0.15</v>
      </c>
      <c r="H10" s="99" t="n">
        <f aca="false">IFERROR(F10*G10,"")</f>
        <v>0</v>
      </c>
      <c r="I10" s="99" t="n">
        <f aca="false">IFERROR(H10/E10*30,"")</f>
        <v>0</v>
      </c>
      <c r="J10" s="100"/>
    </row>
    <row r="11" customFormat="false" ht="15" hidden="false" customHeight="false" outlineLevel="0" collapsed="false">
      <c r="B11" s="96"/>
      <c r="C11" s="96" t="s">
        <v>144</v>
      </c>
      <c r="D11" s="96" t="s">
        <v>79</v>
      </c>
      <c r="E11" s="97" t="n">
        <v>30</v>
      </c>
      <c r="F11" s="97" t="n">
        <v>0</v>
      </c>
      <c r="G11" s="98" t="n">
        <f aca="false">IFERROR(INDEX(Assumptions!$D$28:$D$30,MATCH(D11,Assumptions!$B$28:$B$30,0)),"")</f>
        <v>0.15</v>
      </c>
      <c r="H11" s="99" t="n">
        <f aca="false">IFERROR(F11*G11,"")</f>
        <v>0</v>
      </c>
      <c r="I11" s="99" t="n">
        <f aca="false">IFERROR(H11/E11*30,"")</f>
        <v>0</v>
      </c>
      <c r="J11" s="100"/>
    </row>
    <row r="12" customFormat="false" ht="15" hidden="false" customHeight="false" outlineLevel="0" collapsed="false">
      <c r="B12" s="96"/>
      <c r="C12" s="96" t="s">
        <v>144</v>
      </c>
      <c r="D12" s="96" t="s">
        <v>79</v>
      </c>
      <c r="E12" s="97" t="n">
        <v>30</v>
      </c>
      <c r="F12" s="97" t="n">
        <v>0</v>
      </c>
      <c r="G12" s="98" t="n">
        <f aca="false">IFERROR(INDEX(Assumptions!$D$28:$D$30,MATCH(D12,Assumptions!$B$28:$B$30,0)),"")</f>
        <v>0.15</v>
      </c>
      <c r="H12" s="99" t="n">
        <f aca="false">IFERROR(F12*G12,"")</f>
        <v>0</v>
      </c>
      <c r="I12" s="99" t="n">
        <f aca="false">IFERROR(H12/E12*30,"")</f>
        <v>0</v>
      </c>
      <c r="J12" s="100"/>
    </row>
    <row r="13" customFormat="false" ht="15" hidden="false" customHeight="false" outlineLevel="0" collapsed="false">
      <c r="B13" s="96"/>
      <c r="C13" s="96" t="s">
        <v>144</v>
      </c>
      <c r="D13" s="96" t="s">
        <v>79</v>
      </c>
      <c r="E13" s="97" t="n">
        <v>30</v>
      </c>
      <c r="F13" s="97" t="n">
        <v>0</v>
      </c>
      <c r="G13" s="98" t="n">
        <f aca="false">IFERROR(INDEX(Assumptions!$D$28:$D$30,MATCH(D13,Assumptions!$B$28:$B$30,0)),"")</f>
        <v>0.15</v>
      </c>
      <c r="H13" s="99" t="n">
        <f aca="false">IFERROR(F13*G13,"")</f>
        <v>0</v>
      </c>
      <c r="I13" s="99" t="n">
        <f aca="false">IFERROR(H13/E13*30,"")</f>
        <v>0</v>
      </c>
      <c r="J13" s="100"/>
    </row>
    <row r="14" customFormat="false" ht="15" hidden="false" customHeight="false" outlineLevel="0" collapsed="false">
      <c r="B14" s="96"/>
      <c r="C14" s="96" t="s">
        <v>144</v>
      </c>
      <c r="D14" s="96" t="s">
        <v>79</v>
      </c>
      <c r="E14" s="97" t="n">
        <v>30</v>
      </c>
      <c r="F14" s="97" t="n">
        <v>0</v>
      </c>
      <c r="G14" s="98" t="n">
        <f aca="false">IFERROR(INDEX(Assumptions!$D$28:$D$30,MATCH(D14,Assumptions!$B$28:$B$30,0)),"")</f>
        <v>0.15</v>
      </c>
      <c r="H14" s="99" t="n">
        <f aca="false">IFERROR(F14*G14,"")</f>
        <v>0</v>
      </c>
      <c r="I14" s="99" t="n">
        <f aca="false">IFERROR(H14/E14*30,"")</f>
        <v>0</v>
      </c>
      <c r="J14" s="100"/>
    </row>
    <row r="15" customFormat="false" ht="15" hidden="false" customHeight="false" outlineLevel="0" collapsed="false">
      <c r="B15" s="96"/>
      <c r="C15" s="96" t="s">
        <v>144</v>
      </c>
      <c r="D15" s="96" t="s">
        <v>79</v>
      </c>
      <c r="E15" s="97" t="n">
        <v>30</v>
      </c>
      <c r="F15" s="97" t="n">
        <v>0</v>
      </c>
      <c r="G15" s="98" t="n">
        <f aca="false">IFERROR(INDEX(Assumptions!$D$28:$D$30,MATCH(D15,Assumptions!$B$28:$B$30,0)),"")</f>
        <v>0.15</v>
      </c>
      <c r="H15" s="99" t="n">
        <f aca="false">IFERROR(F15*G15,"")</f>
        <v>0</v>
      </c>
      <c r="I15" s="99" t="n">
        <f aca="false">IFERROR(H15/E15*30,"")</f>
        <v>0</v>
      </c>
      <c r="J15" s="100"/>
    </row>
    <row r="16" customFormat="false" ht="15" hidden="false" customHeight="false" outlineLevel="0" collapsed="false">
      <c r="B16" s="96"/>
      <c r="C16" s="96" t="s">
        <v>144</v>
      </c>
      <c r="D16" s="96" t="s">
        <v>79</v>
      </c>
      <c r="E16" s="97" t="n">
        <v>30</v>
      </c>
      <c r="F16" s="97" t="n">
        <v>0</v>
      </c>
      <c r="G16" s="98" t="n">
        <f aca="false">IFERROR(INDEX(Assumptions!$D$28:$D$30,MATCH(D16,Assumptions!$B$28:$B$30,0)),"")</f>
        <v>0.15</v>
      </c>
      <c r="H16" s="99" t="n">
        <f aca="false">IFERROR(F16*G16,"")</f>
        <v>0</v>
      </c>
      <c r="I16" s="99" t="n">
        <f aca="false">IFERROR(H16/E16*30,"")</f>
        <v>0</v>
      </c>
      <c r="J16" s="100"/>
    </row>
    <row r="17" customFormat="false" ht="15" hidden="false" customHeight="false" outlineLevel="0" collapsed="false">
      <c r="B17" s="96"/>
      <c r="C17" s="96" t="s">
        <v>144</v>
      </c>
      <c r="D17" s="96" t="s">
        <v>79</v>
      </c>
      <c r="E17" s="97" t="n">
        <v>30</v>
      </c>
      <c r="F17" s="97" t="n">
        <v>0</v>
      </c>
      <c r="G17" s="98" t="n">
        <f aca="false">IFERROR(INDEX(Assumptions!$D$28:$D$30,MATCH(D17,Assumptions!$B$28:$B$30,0)),"")</f>
        <v>0.15</v>
      </c>
      <c r="H17" s="99" t="n">
        <f aca="false">IFERROR(F17*G17,"")</f>
        <v>0</v>
      </c>
      <c r="I17" s="99" t="n">
        <f aca="false">IFERROR(H17/E17*30,"")</f>
        <v>0</v>
      </c>
      <c r="J17" s="100"/>
    </row>
    <row r="18" customFormat="false" ht="15" hidden="false" customHeight="false" outlineLevel="0" collapsed="false">
      <c r="B18" s="96"/>
      <c r="C18" s="96" t="s">
        <v>144</v>
      </c>
      <c r="D18" s="96" t="s">
        <v>79</v>
      </c>
      <c r="E18" s="97" t="n">
        <v>30</v>
      </c>
      <c r="F18" s="97" t="n">
        <v>0</v>
      </c>
      <c r="G18" s="98" t="n">
        <f aca="false">IFERROR(INDEX(Assumptions!$D$28:$D$30,MATCH(D18,Assumptions!$B$28:$B$30,0)),"")</f>
        <v>0.15</v>
      </c>
      <c r="H18" s="99" t="n">
        <f aca="false">IFERROR(F18*G18,"")</f>
        <v>0</v>
      </c>
      <c r="I18" s="99" t="n">
        <f aca="false">IFERROR(H18/E18*30,"")</f>
        <v>0</v>
      </c>
      <c r="J18" s="100"/>
    </row>
    <row r="19" customFormat="false" ht="15" hidden="false" customHeight="false" outlineLevel="0" collapsed="false">
      <c r="B19" s="96"/>
      <c r="C19" s="96" t="s">
        <v>144</v>
      </c>
      <c r="D19" s="96" t="s">
        <v>79</v>
      </c>
      <c r="E19" s="97" t="n">
        <v>30</v>
      </c>
      <c r="F19" s="97" t="n">
        <v>0</v>
      </c>
      <c r="G19" s="98" t="n">
        <f aca="false">IFERROR(INDEX(Assumptions!$D$28:$D$30,MATCH(D19,Assumptions!$B$28:$B$30,0)),"")</f>
        <v>0.15</v>
      </c>
      <c r="H19" s="99" t="n">
        <f aca="false">IFERROR(F19*G19,"")</f>
        <v>0</v>
      </c>
      <c r="I19" s="99" t="n">
        <f aca="false">IFERROR(H19/E19*30,"")</f>
        <v>0</v>
      </c>
      <c r="J19" s="100"/>
    </row>
    <row r="20" customFormat="false" ht="15" hidden="false" customHeight="false" outlineLevel="0" collapsed="false">
      <c r="B20" s="96"/>
      <c r="C20" s="96" t="s">
        <v>144</v>
      </c>
      <c r="D20" s="96" t="s">
        <v>79</v>
      </c>
      <c r="E20" s="97" t="n">
        <v>30</v>
      </c>
      <c r="F20" s="97" t="n">
        <v>0</v>
      </c>
      <c r="G20" s="98" t="n">
        <f aca="false">IFERROR(INDEX(Assumptions!$D$28:$D$30,MATCH(D20,Assumptions!$B$28:$B$30,0)),"")</f>
        <v>0.15</v>
      </c>
      <c r="H20" s="99" t="n">
        <f aca="false">IFERROR(F20*G20,"")</f>
        <v>0</v>
      </c>
      <c r="I20" s="99" t="n">
        <f aca="false">IFERROR(H20/E20*30,"")</f>
        <v>0</v>
      </c>
      <c r="J20" s="100"/>
    </row>
    <row r="21" customFormat="false" ht="15" hidden="false" customHeight="false" outlineLevel="0" collapsed="false">
      <c r="B21" s="96"/>
      <c r="C21" s="96" t="s">
        <v>144</v>
      </c>
      <c r="D21" s="96" t="s">
        <v>79</v>
      </c>
      <c r="E21" s="97" t="n">
        <v>30</v>
      </c>
      <c r="F21" s="97" t="n">
        <v>0</v>
      </c>
      <c r="G21" s="98" t="n">
        <f aca="false">IFERROR(INDEX(Assumptions!$D$28:$D$30,MATCH(D21,Assumptions!$B$28:$B$30,0)),"")</f>
        <v>0.15</v>
      </c>
      <c r="H21" s="99" t="n">
        <f aca="false">IFERROR(F21*G21,"")</f>
        <v>0</v>
      </c>
      <c r="I21" s="99" t="n">
        <f aca="false">IFERROR(H21/E21*30,"")</f>
        <v>0</v>
      </c>
      <c r="J21" s="100"/>
    </row>
    <row r="22" customFormat="false" ht="15" hidden="false" customHeight="true" outlineLevel="0" collapsed="false">
      <c r="B22" s="101" t="s">
        <v>269</v>
      </c>
      <c r="C22" s="101"/>
      <c r="D22" s="101"/>
      <c r="E22" s="101"/>
      <c r="F22" s="101"/>
      <c r="G22" s="101"/>
      <c r="H22" s="101"/>
      <c r="I22" s="101"/>
      <c r="J22" s="101"/>
    </row>
    <row r="24" customFormat="false" ht="16.15" hidden="false" customHeight="false" outlineLevel="0" collapsed="false">
      <c r="B24" s="91" t="s">
        <v>270</v>
      </c>
    </row>
    <row r="25" customFormat="false" ht="39.55" hidden="false" customHeight="false" outlineLevel="0" collapsed="false">
      <c r="B25" s="11" t="s">
        <v>133</v>
      </c>
      <c r="C25" s="11" t="s">
        <v>121</v>
      </c>
      <c r="D25" s="11" t="s">
        <v>271</v>
      </c>
      <c r="E25" s="11" t="s">
        <v>272</v>
      </c>
    </row>
    <row r="26" customFormat="false" ht="15" hidden="false" customHeight="false" outlineLevel="0" collapsed="false">
      <c r="B26" s="102" t="s">
        <v>144</v>
      </c>
      <c r="C26" s="103" t="n">
        <f aca="false">SUMIFS($F$7:$F$21,$C$7:$C$21,B26,$B$7:$B$21,"&lt;&gt;")</f>
        <v>18500</v>
      </c>
      <c r="D26" s="99" t="n">
        <f aca="false">SUMIFS($H$7:$H$21,$C$7:$C$21,B26,$B$7:$B$21,"&lt;&gt;")</f>
        <v>2775</v>
      </c>
      <c r="E26" s="99" t="n">
        <f aca="false">SUMIFS($I$7:$I$21,$C$7:$C$21,B26,$B$7:$B$21,"&lt;&gt;")</f>
        <v>2775</v>
      </c>
    </row>
    <row r="27" customFormat="false" ht="15" hidden="false" customHeight="false" outlineLevel="0" collapsed="false">
      <c r="B27" s="102" t="s">
        <v>145</v>
      </c>
      <c r="C27" s="103" t="n">
        <f aca="false">SUMIFS($F$7:$F$21,$C$7:$C$21,B27,$B$7:$B$21,"&lt;&gt;")</f>
        <v>0</v>
      </c>
      <c r="D27" s="99" t="n">
        <f aca="false">SUMIFS($H$7:$H$21,$C$7:$C$21,B27,$B$7:$B$21,"&lt;&gt;")</f>
        <v>0</v>
      </c>
      <c r="E27" s="99" t="n">
        <f aca="false">SUMIFS($I$7:$I$21,$C$7:$C$21,B27,$B$7:$B$21,"&lt;&gt;")</f>
        <v>0</v>
      </c>
    </row>
    <row r="28" customFormat="false" ht="15" hidden="false" customHeight="false" outlineLevel="0" collapsed="false">
      <c r="B28" s="102" t="s">
        <v>146</v>
      </c>
      <c r="C28" s="103" t="n">
        <f aca="false">SUMIFS($F$7:$F$21,$C$7:$C$21,B28,$B$7:$B$21,"&lt;&gt;")</f>
        <v>0</v>
      </c>
      <c r="D28" s="99" t="n">
        <f aca="false">SUMIFS($H$7:$H$21,$C$7:$C$21,B28,$B$7:$B$21,"&lt;&gt;")</f>
        <v>0</v>
      </c>
      <c r="E28" s="99" t="n">
        <f aca="false">SUMIFS($I$7:$I$21,$C$7:$C$21,B28,$B$7:$B$21,"&lt;&gt;")</f>
        <v>0</v>
      </c>
    </row>
    <row r="29" customFormat="false" ht="15" hidden="false" customHeight="false" outlineLevel="0" collapsed="false">
      <c r="B29" s="102" t="s">
        <v>273</v>
      </c>
      <c r="C29" s="103" t="n">
        <f aca="false">SUMIFS($F$7:$F$21,$C$7:$C$21,B29,$B$7:$B$21,"&lt;&gt;")</f>
        <v>0</v>
      </c>
      <c r="D29" s="99" t="n">
        <f aca="false">SUMIFS($H$7:$H$21,$C$7:$C$21,B29,$B$7:$B$21,"&lt;&gt;")</f>
        <v>0</v>
      </c>
      <c r="E29" s="99" t="n">
        <f aca="false">SUMIFS($I$7:$I$21,$C$7:$C$21,B29,$B$7:$B$21,"&lt;&gt;")</f>
        <v>0</v>
      </c>
    </row>
    <row r="30" customFormat="false" ht="15" hidden="false" customHeight="false" outlineLevel="0" collapsed="false">
      <c r="B30" s="104" t="s">
        <v>147</v>
      </c>
      <c r="C30" s="105" t="n">
        <f aca="false">SUM(C26:C29)</f>
        <v>18500</v>
      </c>
      <c r="D30" s="106" t="n">
        <f aca="false">SUM(D26:D29)</f>
        <v>2775</v>
      </c>
      <c r="E30" s="106" t="n">
        <f aca="false">SUM(E26:E29)</f>
        <v>2775</v>
      </c>
    </row>
    <row r="32" customFormat="false" ht="16.15" hidden="false" customHeight="false" outlineLevel="0" collapsed="false">
      <c r="B32" s="91" t="s">
        <v>274</v>
      </c>
    </row>
    <row r="33" customFormat="false" ht="52.2" hidden="false" customHeight="false" outlineLevel="0" collapsed="false">
      <c r="B33" s="11" t="s">
        <v>133</v>
      </c>
      <c r="C33" s="11" t="s">
        <v>272</v>
      </c>
      <c r="D33" s="11" t="s">
        <v>275</v>
      </c>
      <c r="E33" s="11" t="s">
        <v>276</v>
      </c>
      <c r="F33" s="11" t="s">
        <v>277</v>
      </c>
      <c r="G33" s="11" t="s">
        <v>278</v>
      </c>
    </row>
    <row r="34" customFormat="false" ht="15" hidden="false" customHeight="false" outlineLevel="0" collapsed="false">
      <c r="B34" s="102" t="s">
        <v>144</v>
      </c>
      <c r="C34" s="99" t="n">
        <f aca="false">$E$26</f>
        <v>2775</v>
      </c>
      <c r="D34" s="107" t="n">
        <f aca="false">'Batch Mode'!$M$6</f>
        <v>207.36</v>
      </c>
      <c r="E34" s="107" t="n">
        <f aca="false">'Continuous Mode'!$M$6</f>
        <v>624.24</v>
      </c>
      <c r="F34" s="99" t="n">
        <f aca="false">IF(D34=0,"n/a",C34-D34)</f>
        <v>2567.64</v>
      </c>
      <c r="G34" s="99" t="n">
        <f aca="false">IF(E34=0,"n/a",C34-E34)</f>
        <v>2150.76</v>
      </c>
    </row>
    <row r="35" customFormat="false" ht="15" hidden="false" customHeight="false" outlineLevel="0" collapsed="false">
      <c r="B35" s="102" t="s">
        <v>145</v>
      </c>
      <c r="C35" s="99" t="n">
        <f aca="false">$E$27</f>
        <v>0</v>
      </c>
      <c r="D35" s="107" t="n">
        <f aca="false">'Batch Mode'!$M$7</f>
        <v>184.32</v>
      </c>
      <c r="E35" s="107" t="n">
        <f aca="false">'Continuous Mode'!$M$7</f>
        <v>1685.448</v>
      </c>
      <c r="F35" s="99" t="n">
        <f aca="false">IF(D35=0,"n/a",C35-D35)</f>
        <v>-184.32</v>
      </c>
      <c r="G35" s="99" t="n">
        <f aca="false">IF(E35=0,"n/a",C35-E35)</f>
        <v>-1685.448</v>
      </c>
    </row>
    <row r="36" customFormat="false" ht="15" hidden="false" customHeight="false" outlineLevel="0" collapsed="false">
      <c r="B36" s="102" t="s">
        <v>146</v>
      </c>
      <c r="C36" s="99" t="n">
        <f aca="false">$E$28</f>
        <v>0</v>
      </c>
      <c r="D36" s="107" t="n">
        <f aca="false">'Batch Mode'!$M$8</f>
        <v>51.84</v>
      </c>
      <c r="E36" s="107" t="n">
        <f aca="false">'Continuous Mode'!$M$8</f>
        <v>873.936</v>
      </c>
      <c r="F36" s="99" t="n">
        <f aca="false">IF(D36=0,"n/a",C36-D36)</f>
        <v>-51.84</v>
      </c>
      <c r="G36" s="99" t="n">
        <f aca="false">IF(E36=0,"n/a",C36-E36)</f>
        <v>-873.936</v>
      </c>
    </row>
    <row r="37" customFormat="false" ht="15" hidden="false" customHeight="false" outlineLevel="0" collapsed="false">
      <c r="B37" s="104" t="s">
        <v>147</v>
      </c>
      <c r="C37" s="106" t="n">
        <f aca="false">SUM(C34:C36)</f>
        <v>2775</v>
      </c>
      <c r="D37" s="106" t="n">
        <f aca="false">SUM(D34:D36)</f>
        <v>443.52</v>
      </c>
      <c r="E37" s="106" t="n">
        <f aca="false">SUM(E34:E36)</f>
        <v>3183.624</v>
      </c>
      <c r="F37" s="106" t="n">
        <f aca="false">C37-D37</f>
        <v>2331.48</v>
      </c>
      <c r="G37" s="106" t="n">
        <f aca="false">C37-E37</f>
        <v>-408.624</v>
      </c>
    </row>
    <row r="38" customFormat="false" ht="15" hidden="false" customHeight="true" outlineLevel="0" collapsed="false">
      <c r="B38" s="101" t="s">
        <v>279</v>
      </c>
      <c r="C38" s="101"/>
      <c r="D38" s="101"/>
      <c r="E38" s="101"/>
      <c r="F38" s="101"/>
      <c r="G38" s="101"/>
      <c r="H38" s="101"/>
      <c r="I38" s="101"/>
      <c r="J38" s="101"/>
    </row>
  </sheetData>
  <mergeCells count="4">
    <mergeCell ref="B2:J2"/>
    <mergeCell ref="B3:J3"/>
    <mergeCell ref="B22:J22"/>
    <mergeCell ref="B38:J38"/>
  </mergeCells>
  <dataValidations count="2">
    <dataValidation allowBlank="false" errorStyle="stop" operator="between" showDropDown="false" showErrorMessage="false" showInputMessage="false" sqref="C7:C21" type="list">
      <formula1>"Bronze,Silver,Gold,Other"</formula1>
      <formula2>0</formula2>
    </dataValidation>
    <dataValidation allowBlank="false" errorStyle="stop" operator="between" showDropDown="false" showErrorMessage="false" showInputMessage="false" sqref="D7:D21" type="list">
      <formula1>"Batch / Triggered,Continuous / Streaming (SDP Serverless),Continuous (Jobs Compute)"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6" min="5" style="1" width="16"/>
    <col collapsed="false" customWidth="true" hidden="false" outlineLevel="0" max="7" min="7" style="1" width="40"/>
  </cols>
  <sheetData>
    <row r="2" customFormat="false" ht="15.75" hidden="false" customHeight="true" outlineLevel="0" collapsed="false">
      <c r="B2" s="58" t="s">
        <v>280</v>
      </c>
      <c r="C2" s="58"/>
      <c r="D2" s="58"/>
      <c r="E2" s="58"/>
      <c r="F2" s="58"/>
      <c r="G2" s="58"/>
    </row>
    <row r="4" customFormat="false" ht="26.25" hidden="false" customHeight="true" outlineLevel="0" collapsed="false">
      <c r="B4" s="11" t="s">
        <v>133</v>
      </c>
      <c r="C4" s="11" t="s">
        <v>281</v>
      </c>
      <c r="D4" s="11" t="s">
        <v>282</v>
      </c>
      <c r="E4" s="11" t="s">
        <v>283</v>
      </c>
      <c r="F4" s="11" t="s">
        <v>284</v>
      </c>
      <c r="G4" s="11"/>
    </row>
    <row r="5" customFormat="false" ht="15" hidden="false" customHeight="true" outlineLevel="0" collapsed="false">
      <c r="B5" s="22" t="s">
        <v>144</v>
      </c>
      <c r="C5" s="108" t="n">
        <f aca="false">'Batch Mode'!$M$6</f>
        <v>207.36</v>
      </c>
      <c r="D5" s="108" t="n">
        <f aca="false">'Continuous Mode'!$M$6</f>
        <v>624.24</v>
      </c>
      <c r="E5" s="60" t="n">
        <f aca="false">D5-C5</f>
        <v>416.88</v>
      </c>
      <c r="F5" s="109" t="n">
        <f aca="false">IF(C5=0,"n/a",D5/C5)</f>
        <v>3.01041666666667</v>
      </c>
    </row>
    <row r="6" customFormat="false" ht="15" hidden="false" customHeight="true" outlineLevel="0" collapsed="false">
      <c r="B6" s="22" t="s">
        <v>145</v>
      </c>
      <c r="C6" s="108" t="n">
        <f aca="false">'Batch Mode'!$M$7</f>
        <v>184.32</v>
      </c>
      <c r="D6" s="108" t="n">
        <f aca="false">'Continuous Mode'!$M$7</f>
        <v>1685.448</v>
      </c>
      <c r="E6" s="60" t="n">
        <f aca="false">D6-C6</f>
        <v>1501.128</v>
      </c>
      <c r="F6" s="109" t="n">
        <f aca="false">IF(C6=0,"n/a",D6/C6)</f>
        <v>9.144140625</v>
      </c>
    </row>
    <row r="7" customFormat="false" ht="15" hidden="false" customHeight="true" outlineLevel="0" collapsed="false">
      <c r="B7" s="22" t="s">
        <v>146</v>
      </c>
      <c r="C7" s="108" t="n">
        <f aca="false">'Batch Mode'!$M$8</f>
        <v>51.84</v>
      </c>
      <c r="D7" s="108" t="n">
        <f aca="false">'Continuous Mode'!$M$8</f>
        <v>873.936</v>
      </c>
      <c r="E7" s="60" t="n">
        <f aca="false">D7-C7</f>
        <v>822.096</v>
      </c>
      <c r="F7" s="109" t="n">
        <f aca="false">IF(C7=0,"n/a",D7/C7)</f>
        <v>16.8583333333333</v>
      </c>
    </row>
    <row r="8" customFormat="false" ht="15" hidden="false" customHeight="true" outlineLevel="0" collapsed="false">
      <c r="B8" s="62" t="s">
        <v>147</v>
      </c>
      <c r="C8" s="65" t="n">
        <f aca="false">SUM(C5:C7)</f>
        <v>443.52</v>
      </c>
      <c r="D8" s="65" t="n">
        <f aca="false">SUM(D5:D7)</f>
        <v>3183.624</v>
      </c>
      <c r="E8" s="65" t="n">
        <f aca="false">D8-C8</f>
        <v>2740.104</v>
      </c>
      <c r="F8" s="82" t="n">
        <f aca="false">D8/C8</f>
        <v>7.17808441558442</v>
      </c>
    </row>
    <row r="10" customFormat="false" ht="15.75" hidden="false" customHeight="true" outlineLevel="0" collapsed="false">
      <c r="B10" s="4" t="s">
        <v>285</v>
      </c>
    </row>
    <row r="11" customFormat="false" ht="26.25" hidden="false" customHeight="true" outlineLevel="0" collapsed="false">
      <c r="B11" s="11"/>
      <c r="C11" s="11" t="s">
        <v>286</v>
      </c>
      <c r="D11" s="11" t="s">
        <v>287</v>
      </c>
      <c r="E11" s="11" t="s">
        <v>288</v>
      </c>
      <c r="F11" s="11"/>
      <c r="G11" s="11"/>
    </row>
    <row r="12" customFormat="false" ht="15" hidden="false" customHeight="true" outlineLevel="0" collapsed="false">
      <c r="B12" s="62" t="s">
        <v>147</v>
      </c>
      <c r="C12" s="65" t="n">
        <f aca="false">C8*12</f>
        <v>5322.24</v>
      </c>
      <c r="D12" s="65" t="n">
        <f aca="false">D8*12</f>
        <v>38203.488</v>
      </c>
      <c r="E12" s="65" t="n">
        <f aca="false">D12-C12</f>
        <v>32881.248</v>
      </c>
    </row>
    <row r="32" customFormat="false" ht="15.75" hidden="false" customHeight="true" outlineLevel="0" collapsed="false">
      <c r="B32" s="4" t="s">
        <v>289</v>
      </c>
    </row>
    <row r="33" customFormat="false" ht="39.75" hidden="false" customHeight="true" outlineLevel="0" collapsed="false">
      <c r="B33" s="110" t="s">
        <v>290</v>
      </c>
      <c r="C33" s="110"/>
      <c r="D33" s="110"/>
      <c r="E33" s="110"/>
      <c r="F33" s="110"/>
      <c r="G33" s="110"/>
    </row>
  </sheetData>
  <mergeCells count="2">
    <mergeCell ref="B2:G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2026-08-12T07:05:45Z</dcterms:created>
  <dc:creator>openpyxl</dc:creator>
  <dc:description/>
  <dc:language>en-US</dc:language>
  <cp:lastModifiedBy/>
  <dcterms:modified xsi:type="dcterms:W3CDTF">2026-08-13T01:06:45Z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